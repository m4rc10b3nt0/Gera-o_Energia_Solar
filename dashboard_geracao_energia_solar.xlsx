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12\EXCELCNV\5243862a-c9a5-49f4-9659-fd04408315c1\"/>
    </mc:Choice>
  </mc:AlternateContent>
  <xr:revisionPtr revIDLastSave="0" documentId="8_{87CB5DE5-488B-48FC-B3E5-8EE1E44FC95B}" xr6:coauthVersionLast="47" xr6:coauthVersionMax="47" xr10:uidLastSave="{00000000-0000-0000-0000-000000000000}"/>
  <bookViews>
    <workbookView xWindow="-60" yWindow="-60" windowWidth="15480" windowHeight="11640" firstSheet="2" xr2:uid="{2158BCD4-BCBB-4210-BB0B-2D721C4D06F9}"/>
  </bookViews>
  <sheets>
    <sheet name="Dashboard" sheetId="4" r:id="rId1"/>
    <sheet name="Bases" sheetId="1" r:id="rId2"/>
    <sheet name="Cálculos" sheetId="3" r:id="rId3"/>
  </sheets>
  <definedNames>
    <definedName name="SegmentaçãodeDados_UF">#N/A</definedName>
  </definedNames>
  <calcPr calcId="191028"/>
  <pivotCaches>
    <pivotCache cacheId="13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L5" i="4"/>
  <c r="I5" i="4"/>
  <c r="F5" i="4"/>
</calcChain>
</file>

<file path=xl/sharedStrings.xml><?xml version="1.0" encoding="utf-8"?>
<sst xmlns="http://schemas.openxmlformats.org/spreadsheetml/2006/main" count="538" uniqueCount="61">
  <si>
    <t>DASHBOARD DE IMPACTO FINANCEIRO - GERAÇÃO DISTRIBUÍDA SOLAR (ANEEL)</t>
  </si>
  <si>
    <t>ECONOMIA ANUAL TOTAL</t>
  </si>
  <si>
    <t>GERAÇÃO PRÓPRIA</t>
  </si>
  <si>
    <t>SETOR COMERCIAL</t>
  </si>
  <si>
    <t>SETOR RESIDENCIAL</t>
  </si>
  <si>
    <t>Classe_Consumo</t>
  </si>
  <si>
    <t>Soma de Economia_Anual_RS</t>
  </si>
  <si>
    <t>Comercial</t>
  </si>
  <si>
    <t>Industrial</t>
  </si>
  <si>
    <t>Residencial</t>
  </si>
  <si>
    <t>Rural</t>
  </si>
  <si>
    <t>Total Geral</t>
  </si>
  <si>
    <t>ID_Instalacao</t>
  </si>
  <si>
    <t>Nome_Cliente</t>
  </si>
  <si>
    <t>UF</t>
  </si>
  <si>
    <t>Data_Conexao</t>
  </si>
  <si>
    <t>Tipo_Conexao</t>
  </si>
  <si>
    <t>Potencia_kW</t>
  </si>
  <si>
    <t>Investimento_RS</t>
  </si>
  <si>
    <t>Economia_Mensal_RS</t>
  </si>
  <si>
    <t>Economia_Anual_RS</t>
  </si>
  <si>
    <t xml:space="preserve">Fazenda Santa Luzia </t>
  </si>
  <si>
    <t>MG</t>
  </si>
  <si>
    <t>Assinatura</t>
  </si>
  <si>
    <t xml:space="preserve">Hotel Pousada Sol </t>
  </si>
  <si>
    <t>SP</t>
  </si>
  <si>
    <t xml:space="preserve">Sítio Sol Nascente </t>
  </si>
  <si>
    <t xml:space="preserve">Residencial Silva </t>
  </si>
  <si>
    <t>PR</t>
  </si>
  <si>
    <t>Própria</t>
  </si>
  <si>
    <t xml:space="preserve">Farmácia Viva </t>
  </si>
  <si>
    <t>RJ</t>
  </si>
  <si>
    <t xml:space="preserve">Indústria Metalúrgica Brasil </t>
  </si>
  <si>
    <t xml:space="preserve">Condomínio Solar Park </t>
  </si>
  <si>
    <t>GO</t>
  </si>
  <si>
    <t xml:space="preserve">Residencial Oliveira </t>
  </si>
  <si>
    <t xml:space="preserve">Livraria Conhecimento </t>
  </si>
  <si>
    <t xml:space="preserve">Condomínio Vista Verde </t>
  </si>
  <si>
    <t>PE</t>
  </si>
  <si>
    <t>RS</t>
  </si>
  <si>
    <t xml:space="preserve">Residencial Santos </t>
  </si>
  <si>
    <t>CE</t>
  </si>
  <si>
    <t xml:space="preserve">Condomínio Eco Life </t>
  </si>
  <si>
    <t>BA</t>
  </si>
  <si>
    <t xml:space="preserve">Oficina AutoEco </t>
  </si>
  <si>
    <t xml:space="preserve">Restaurante Sabor Verde </t>
  </si>
  <si>
    <t xml:space="preserve">Academia FitSolar </t>
  </si>
  <si>
    <t>SC</t>
  </si>
  <si>
    <t xml:space="preserve">Fazenda Boa Esperança </t>
  </si>
  <si>
    <t xml:space="preserve">Shopping Centervale </t>
  </si>
  <si>
    <t xml:space="preserve">Supermercado Pão de Açúcar </t>
  </si>
  <si>
    <t xml:space="preserve">Frigorífico Centro-Oeste </t>
  </si>
  <si>
    <t xml:space="preserve">Posto de Combustível Ecogreen </t>
  </si>
  <si>
    <t xml:space="preserve">Textil Alvorada </t>
  </si>
  <si>
    <t xml:space="preserve">Padaria Solar </t>
  </si>
  <si>
    <t xml:space="preserve">Laticínios Minas </t>
  </si>
  <si>
    <t xml:space="preserve">Plásticos Sustentáveis </t>
  </si>
  <si>
    <t>Qual a Economia Anual Total (R$) por Estado (UF)?</t>
  </si>
  <si>
    <t>Qual a Economia por Tipo de Conexão (Própria vs Assinatura)?</t>
  </si>
  <si>
    <t>Qual a Economia no Setor Comercial?</t>
  </si>
  <si>
    <t>Qual a Economia no Setor Residencial?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</si>
</sst>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7" tint="0.39997558519241921"/>
      <name val="Segoe UI"/>
    </font>
    <font>
      <sz val="11"/>
      <color theme="1"/>
      <name val="Segoe UI"/>
    </font>
    <font>
      <b/>
      <sz val="16"/>
      <color theme="1"/>
      <name val="Segoe UI"/>
    </font>
    <font>
      <sz val="12"/>
      <color theme="1"/>
      <name val="Segoe U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7"/>
      </bottom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8" fontId="0" fillId="0" borderId="0" xfId="0" applyNumberFormat="1"/>
    <xf numFmtId="0" fontId="18" fillId="0" borderId="0" xfId="0" applyFont="1"/>
    <xf numFmtId="0" fontId="0" fillId="0" borderId="0" xfId="0" pivotButton="1"/>
    <xf numFmtId="0" fontId="0" fillId="34" borderId="0" xfId="0" applyFill="1"/>
    <xf numFmtId="8" fontId="0" fillId="34" borderId="0" xfId="0" applyNumberFormat="1" applyFill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20" fillId="34" borderId="0" xfId="0" applyFont="1" applyFill="1"/>
    <xf numFmtId="8" fontId="21" fillId="35" borderId="13" xfId="0" applyNumberFormat="1" applyFont="1" applyFill="1" applyBorder="1" applyAlignment="1">
      <alignment horizontal="center" vertical="center"/>
    </xf>
    <xf numFmtId="8" fontId="21" fillId="35" borderId="14" xfId="0" applyNumberFormat="1" applyFont="1" applyFill="1" applyBorder="1" applyAlignment="1">
      <alignment horizontal="center" vertical="center"/>
    </xf>
    <xf numFmtId="8" fontId="21" fillId="35" borderId="16" xfId="0" applyNumberFormat="1" applyFont="1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22" fillId="35" borderId="12" xfId="0" applyFont="1" applyFill="1" applyBorder="1" applyAlignment="1">
      <alignment horizontal="center" vertical="center"/>
    </xf>
    <xf numFmtId="0" fontId="22" fillId="34" borderId="0" xfId="0" applyFont="1" applyFill="1"/>
    <xf numFmtId="0" fontId="22" fillId="35" borderId="15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9" formatCode="dd/mm/yyyy"/>
    </dxf>
    <dxf>
      <font>
        <color rgb="FF000000"/>
      </font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[base_de_dados_geracao_distribuida.xlsx]Dashboard!Tabela dinâmica7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Economia Anual por Setor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Dashboard!$L$9:$L$13</c:f>
              <c:strCache>
                <c:ptCount val="4"/>
                <c:pt idx="0">
                  <c:v>Comercial</c:v>
                </c:pt>
                <c:pt idx="1">
                  <c:v>Industrial</c:v>
                </c:pt>
                <c:pt idx="2">
                  <c:v>Residencial</c:v>
                </c:pt>
                <c:pt idx="3">
                  <c:v>Rural</c:v>
                </c:pt>
              </c:strCache>
            </c:strRef>
          </c:cat>
          <c:val>
            <c:numRef>
              <c:f>Dashboard!$M$9:$M$13</c:f>
              <c:numCache>
                <c:formatCode>"R$"#,##0.00_);[Red]\("R$"#,##0.00\)</c:formatCode>
                <c:ptCount val="4"/>
                <c:pt idx="0">
                  <c:v>589344</c:v>
                </c:pt>
                <c:pt idx="1">
                  <c:v>461112</c:v>
                </c:pt>
                <c:pt idx="2">
                  <c:v>174468</c:v>
                </c:pt>
                <c:pt idx="3">
                  <c:v>207576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F-42C5-B9FB-7B60770C0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7054855"/>
        <c:axId val="1247069191"/>
      </c:barChart>
      <c:catAx>
        <c:axId val="1247054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069191"/>
        <c:crosses val="autoZero"/>
        <c:auto val="1"/>
        <c:lblAlgn val="ctr"/>
        <c:lblOffset val="100"/>
        <c:noMultiLvlLbl val="0"/>
      </c:catAx>
      <c:valAx>
        <c:axId val="1247069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05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6</xdr:row>
      <xdr:rowOff>57150</xdr:rowOff>
    </xdr:from>
    <xdr:to>
      <xdr:col>3</xdr:col>
      <xdr:colOff>361950</xdr:colOff>
      <xdr:row>20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UF">
              <a:extLst>
                <a:ext uri="{FF2B5EF4-FFF2-40B4-BE49-F238E27FC236}">
                  <a16:creationId xmlns:a16="http://schemas.microsoft.com/office/drawing/2014/main" id="{091EBD89-2E51-F198-8A49-7AB714F773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F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7375" y="1352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762000</xdr:colOff>
      <xdr:row>6</xdr:row>
      <xdr:rowOff>47625</xdr:rowOff>
    </xdr:from>
    <xdr:to>
      <xdr:col>8</xdr:col>
      <xdr:colOff>1476375</xdr:colOff>
      <xdr:row>20</xdr:row>
      <xdr:rowOff>123825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967BAEC-3E42-6216-80EB-276D700907C1}"/>
            </a:ext>
            <a:ext uri="{147F2762-F138-4A5C-976F-8EAC2B608ADB}">
              <a16:predDERef xmlns:a16="http://schemas.microsoft.com/office/drawing/2014/main" pred="{091EBD89-2E51-F198-8A49-7AB714F77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2.782420949072" createdVersion="8" refreshedVersion="8" minRefreshableVersion="3" recordCount="120" xr:uid="{026E066E-0CC5-4DC9-8C34-A496CD0C73A4}">
  <cacheSource type="worksheet">
    <worksheetSource name="Tabela_Solar"/>
  </cacheSource>
  <cacheFields count="10">
    <cacheField name="ID_Instalacao" numFmtId="0">
      <sharedItems containsSemiMixedTypes="0" containsString="0" containsNumber="1" containsInteger="1" minValue="5001" maxValue="5120"/>
    </cacheField>
    <cacheField name="Nome_Cliente" numFmtId="0">
      <sharedItems/>
    </cacheField>
    <cacheField name="UF" numFmtId="0">
      <sharedItems count="10">
        <s v="MG"/>
        <s v="SP"/>
        <s v="PR"/>
        <s v="RJ"/>
        <s v="GO"/>
        <s v="PE"/>
        <s v="RS"/>
        <s v="CE"/>
        <s v="BA"/>
        <s v="SC"/>
      </sharedItems>
    </cacheField>
    <cacheField name="Classe_Consumo" numFmtId="0">
      <sharedItems count="4">
        <s v="Rural"/>
        <s v="Comercial"/>
        <s v="Residencial"/>
        <s v="Industrial"/>
      </sharedItems>
    </cacheField>
    <cacheField name="Data_Conexao" numFmtId="14">
      <sharedItems containsSemiMixedTypes="0" containsNonDate="0" containsDate="1" containsString="0" minDate="2024-01-01T00:00:00" maxDate="2025-01-01T00:00:00"/>
    </cacheField>
    <cacheField name="Tipo_Conexao" numFmtId="0">
      <sharedItems count="2">
        <s v="Assinatura"/>
        <s v="Própria"/>
      </sharedItems>
    </cacheField>
    <cacheField name="Potencia_kW" numFmtId="0">
      <sharedItems containsSemiMixedTypes="0" containsString="0" containsNumber="1" containsInteger="1" minValue="4" maxValue="296"/>
    </cacheField>
    <cacheField name="Investimento_RS" numFmtId="8">
      <sharedItems containsSemiMixedTypes="0" containsString="0" containsNumber="1" containsInteger="1" minValue="16274" maxValue="1006934"/>
    </cacheField>
    <cacheField name="Economia_Mensal_RS" numFmtId="8">
      <sharedItems containsSemiMixedTypes="0" containsString="0" containsNumber="1" containsInteger="1" minValue="661" maxValue="44397"/>
    </cacheField>
    <cacheField name="Economia_Anual_RS" numFmtId="8">
      <sharedItems containsSemiMixedTypes="0" containsString="0" containsNumber="1" containsInteger="1" minValue="7932" maxValue="532764"/>
    </cacheField>
  </cacheFields>
  <extLst>
    <ext xmlns:x14="http://schemas.microsoft.com/office/spreadsheetml/2009/9/main" uri="{725AE2AE-9491-48be-B2B4-4EB974FC3084}">
      <x14:pivotCacheDefinition pivotCacheId="28961650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5001"/>
    <s v="Fazenda Santa Luzia "/>
    <x v="0"/>
    <x v="0"/>
    <d v="2024-01-01T00:00:00"/>
    <x v="0"/>
    <n v="40"/>
    <n v="146734"/>
    <n v="6121"/>
    <n v="73452"/>
  </r>
  <r>
    <n v="5002"/>
    <s v="Hotel Pousada Sol "/>
    <x v="1"/>
    <x v="1"/>
    <d v="2024-01-04T00:00:00"/>
    <x v="0"/>
    <n v="54"/>
    <n v="206935"/>
    <n v="8670"/>
    <n v="104040"/>
  </r>
  <r>
    <n v="5003"/>
    <s v="Sítio Sol Nascente "/>
    <x v="1"/>
    <x v="0"/>
    <d v="2024-01-07T00:00:00"/>
    <x v="0"/>
    <n v="21"/>
    <n v="77911"/>
    <n v="3331"/>
    <n v="39972"/>
  </r>
  <r>
    <n v="5004"/>
    <s v="Residencial Silva "/>
    <x v="2"/>
    <x v="2"/>
    <d v="2024-01-10T00:00:00"/>
    <x v="1"/>
    <n v="4"/>
    <n v="16274"/>
    <n v="688"/>
    <n v="8256"/>
  </r>
  <r>
    <n v="5005"/>
    <s v="Farmácia Viva "/>
    <x v="3"/>
    <x v="1"/>
    <d v="2024-01-13T00:00:00"/>
    <x v="0"/>
    <n v="58"/>
    <n v="222038"/>
    <n v="9243"/>
    <n v="110916"/>
  </r>
  <r>
    <n v="5006"/>
    <s v="Indústria Metalúrgica Brasil "/>
    <x v="3"/>
    <x v="3"/>
    <d v="2024-01-16T00:00:00"/>
    <x v="0"/>
    <n v="246"/>
    <n v="836793"/>
    <n v="36987"/>
    <n v="443844"/>
  </r>
  <r>
    <n v="5007"/>
    <s v="Condomínio Solar Park "/>
    <x v="4"/>
    <x v="2"/>
    <d v="2024-01-19T00:00:00"/>
    <x v="1"/>
    <n v="8"/>
    <n v="33497"/>
    <n v="1393"/>
    <n v="16716"/>
  </r>
  <r>
    <n v="5008"/>
    <s v="Residencial Oliveira "/>
    <x v="0"/>
    <x v="2"/>
    <d v="2024-01-22T00:00:00"/>
    <x v="1"/>
    <n v="4"/>
    <n v="17755"/>
    <n v="679"/>
    <n v="8148"/>
  </r>
  <r>
    <n v="5009"/>
    <s v="Livraria Conhecimento "/>
    <x v="2"/>
    <x v="1"/>
    <d v="2024-01-25T00:00:00"/>
    <x v="1"/>
    <n v="18"/>
    <n v="70293"/>
    <n v="2970"/>
    <n v="35640"/>
  </r>
  <r>
    <n v="5010"/>
    <s v="Condomínio Vista Verde "/>
    <x v="5"/>
    <x v="2"/>
    <d v="2024-01-28T00:00:00"/>
    <x v="1"/>
    <n v="11"/>
    <n v="46685"/>
    <n v="1906"/>
    <n v="22872"/>
  </r>
  <r>
    <n v="5011"/>
    <s v="Fazenda Santa Luzia "/>
    <x v="6"/>
    <x v="0"/>
    <d v="2024-01-31T00:00:00"/>
    <x v="0"/>
    <n v="72"/>
    <n v="261087"/>
    <n v="11176"/>
    <n v="134112"/>
  </r>
  <r>
    <n v="5012"/>
    <s v="Residencial Santos "/>
    <x v="0"/>
    <x v="2"/>
    <d v="2024-02-03T00:00:00"/>
    <x v="1"/>
    <n v="4"/>
    <n v="17680"/>
    <n v="700"/>
    <n v="8400"/>
  </r>
  <r>
    <n v="5013"/>
    <s v="Farmácia Viva "/>
    <x v="3"/>
    <x v="1"/>
    <d v="2024-02-06T00:00:00"/>
    <x v="1"/>
    <n v="31"/>
    <n v="116191"/>
    <n v="5022"/>
    <n v="60264"/>
  </r>
  <r>
    <n v="5014"/>
    <s v="Condomínio Solar Park "/>
    <x v="7"/>
    <x v="2"/>
    <d v="2024-02-09T00:00:00"/>
    <x v="0"/>
    <n v="12"/>
    <n v="50451"/>
    <n v="1996"/>
    <n v="23952"/>
  </r>
  <r>
    <n v="5015"/>
    <s v="Condomínio Eco Life "/>
    <x v="5"/>
    <x v="2"/>
    <d v="2024-02-12T00:00:00"/>
    <x v="1"/>
    <n v="11"/>
    <n v="46004"/>
    <n v="1918"/>
    <n v="23016"/>
  </r>
  <r>
    <n v="5016"/>
    <s v="Farmácia Viva "/>
    <x v="6"/>
    <x v="1"/>
    <d v="2024-02-16T00:00:00"/>
    <x v="1"/>
    <n v="51"/>
    <n v="193285"/>
    <n v="8190"/>
    <n v="98280"/>
  </r>
  <r>
    <n v="5017"/>
    <s v="Residencial Oliveira "/>
    <x v="8"/>
    <x v="2"/>
    <d v="2024-02-19T00:00:00"/>
    <x v="0"/>
    <n v="12"/>
    <n v="49606"/>
    <n v="2004"/>
    <n v="24048"/>
  </r>
  <r>
    <n v="5018"/>
    <s v="Residencial Silva "/>
    <x v="1"/>
    <x v="2"/>
    <d v="2024-02-22T00:00:00"/>
    <x v="1"/>
    <n v="7"/>
    <n v="29420"/>
    <n v="1235"/>
    <n v="14820"/>
  </r>
  <r>
    <n v="5019"/>
    <s v="Hotel Pousada Sol "/>
    <x v="2"/>
    <x v="1"/>
    <d v="2024-02-25T00:00:00"/>
    <x v="1"/>
    <n v="27"/>
    <n v="101783"/>
    <n v="4290"/>
    <n v="51480"/>
  </r>
  <r>
    <n v="5020"/>
    <s v="Oficina AutoEco "/>
    <x v="0"/>
    <x v="1"/>
    <d v="2024-02-28T00:00:00"/>
    <x v="0"/>
    <n v="67"/>
    <n v="255293"/>
    <n v="10647"/>
    <n v="127764"/>
  </r>
  <r>
    <n v="5021"/>
    <s v="Livraria Conhecimento "/>
    <x v="7"/>
    <x v="1"/>
    <d v="2024-03-02T00:00:00"/>
    <x v="0"/>
    <n v="69"/>
    <n v="263619"/>
    <n v="11129"/>
    <n v="133548"/>
  </r>
  <r>
    <n v="5022"/>
    <s v="Hotel Pousada Sol "/>
    <x v="1"/>
    <x v="1"/>
    <d v="2024-03-05T00:00:00"/>
    <x v="1"/>
    <n v="27"/>
    <n v="102368"/>
    <n v="4222"/>
    <n v="50664"/>
  </r>
  <r>
    <n v="5023"/>
    <s v="Residencial Santos "/>
    <x v="1"/>
    <x v="2"/>
    <d v="2024-03-08T00:00:00"/>
    <x v="1"/>
    <n v="4"/>
    <n v="17642"/>
    <n v="673"/>
    <n v="8076"/>
  </r>
  <r>
    <n v="5024"/>
    <s v="Restaurante Sabor Verde "/>
    <x v="0"/>
    <x v="1"/>
    <d v="2024-03-11T00:00:00"/>
    <x v="1"/>
    <n v="55"/>
    <n v="210763"/>
    <n v="8812"/>
    <n v="105744"/>
  </r>
  <r>
    <n v="5025"/>
    <s v="Academia FitSolar "/>
    <x v="1"/>
    <x v="1"/>
    <d v="2024-03-14T00:00:00"/>
    <x v="1"/>
    <n v="16"/>
    <n v="62258"/>
    <n v="2572"/>
    <n v="30864"/>
  </r>
  <r>
    <n v="5026"/>
    <s v="Sítio Sol Nascente "/>
    <x v="1"/>
    <x v="0"/>
    <d v="2024-03-17T00:00:00"/>
    <x v="1"/>
    <n v="21"/>
    <n v="78285"/>
    <n v="3397"/>
    <n v="40764"/>
  </r>
  <r>
    <n v="5027"/>
    <s v="Sítio Sol Nascente "/>
    <x v="0"/>
    <x v="0"/>
    <d v="2024-03-20T00:00:00"/>
    <x v="1"/>
    <n v="72"/>
    <n v="257907"/>
    <n v="11177"/>
    <n v="134124"/>
  </r>
  <r>
    <n v="5028"/>
    <s v="Restaurante Sabor Verde "/>
    <x v="9"/>
    <x v="1"/>
    <d v="2024-03-23T00:00:00"/>
    <x v="0"/>
    <n v="73"/>
    <n v="275800"/>
    <n v="11617"/>
    <n v="139404"/>
  </r>
  <r>
    <n v="5029"/>
    <s v="Residencial Oliveira "/>
    <x v="0"/>
    <x v="2"/>
    <d v="2024-03-26T00:00:00"/>
    <x v="1"/>
    <n v="4"/>
    <n v="17024"/>
    <n v="688"/>
    <n v="8256"/>
  </r>
  <r>
    <n v="5030"/>
    <s v="Hotel Pousada Sol "/>
    <x v="1"/>
    <x v="1"/>
    <d v="2024-03-29T00:00:00"/>
    <x v="1"/>
    <n v="33"/>
    <n v="124769"/>
    <n v="5374"/>
    <n v="64488"/>
  </r>
  <r>
    <n v="5031"/>
    <s v="Oficina AutoEco "/>
    <x v="7"/>
    <x v="1"/>
    <d v="2024-04-02T00:00:00"/>
    <x v="1"/>
    <n v="47"/>
    <n v="178559"/>
    <n v="7547"/>
    <n v="90564"/>
  </r>
  <r>
    <n v="5032"/>
    <s v="Indústria Metalúrgica Brasil "/>
    <x v="6"/>
    <x v="3"/>
    <d v="2024-04-05T00:00:00"/>
    <x v="0"/>
    <n v="296"/>
    <n v="1006934"/>
    <n v="44397"/>
    <n v="532764"/>
  </r>
  <r>
    <n v="5033"/>
    <s v="Residencial Silva "/>
    <x v="0"/>
    <x v="2"/>
    <d v="2024-04-08T00:00:00"/>
    <x v="0"/>
    <n v="7"/>
    <n v="29995"/>
    <n v="1141"/>
    <n v="13692"/>
  </r>
  <r>
    <n v="5034"/>
    <s v="Fazenda Boa Esperança "/>
    <x v="9"/>
    <x v="0"/>
    <d v="2024-04-11T00:00:00"/>
    <x v="1"/>
    <n v="28"/>
    <n v="100970"/>
    <n v="4286"/>
    <n v="51432"/>
  </r>
  <r>
    <n v="5035"/>
    <s v="Indústria Metalúrgica Brasil "/>
    <x v="8"/>
    <x v="3"/>
    <d v="2024-04-14T00:00:00"/>
    <x v="0"/>
    <n v="231"/>
    <n v="782048"/>
    <n v="34769"/>
    <n v="417228"/>
  </r>
  <r>
    <n v="5036"/>
    <s v="Condomínio Eco Life "/>
    <x v="5"/>
    <x v="2"/>
    <d v="2024-04-17T00:00:00"/>
    <x v="1"/>
    <n v="12"/>
    <n v="49498"/>
    <n v="2014"/>
    <n v="24168"/>
  </r>
  <r>
    <n v="5037"/>
    <s v="Shopping Centervale "/>
    <x v="1"/>
    <x v="1"/>
    <d v="2024-04-20T00:00:00"/>
    <x v="1"/>
    <n v="49"/>
    <n v="187991"/>
    <n v="7928"/>
    <n v="95136"/>
  </r>
  <r>
    <n v="5038"/>
    <s v="Residencial Santos "/>
    <x v="0"/>
    <x v="2"/>
    <d v="2024-04-23T00:00:00"/>
    <x v="1"/>
    <n v="7"/>
    <n v="29927"/>
    <n v="1147"/>
    <n v="13764"/>
  </r>
  <r>
    <n v="5039"/>
    <s v="Condomínio Vista Verde "/>
    <x v="5"/>
    <x v="2"/>
    <d v="2024-04-26T00:00:00"/>
    <x v="1"/>
    <n v="14"/>
    <n v="59706"/>
    <n v="2415"/>
    <n v="28980"/>
  </r>
  <r>
    <n v="5040"/>
    <s v="Farmácia Viva "/>
    <x v="0"/>
    <x v="1"/>
    <d v="2024-04-29T00:00:00"/>
    <x v="0"/>
    <n v="68"/>
    <n v="258199"/>
    <n v="10806"/>
    <n v="129672"/>
  </r>
  <r>
    <n v="5041"/>
    <s v="Supermercado Pão de Açúcar "/>
    <x v="3"/>
    <x v="1"/>
    <d v="2024-05-02T00:00:00"/>
    <x v="1"/>
    <n v="19"/>
    <n v="73267"/>
    <n v="3000"/>
    <n v="36000"/>
  </r>
  <r>
    <n v="5042"/>
    <s v="Residencial Silva "/>
    <x v="3"/>
    <x v="2"/>
    <d v="2024-05-05T00:00:00"/>
    <x v="0"/>
    <n v="8"/>
    <n v="33117"/>
    <n v="1408"/>
    <n v="16896"/>
  </r>
  <r>
    <n v="5043"/>
    <s v="Sítio Sol Nascente "/>
    <x v="8"/>
    <x v="0"/>
    <d v="2024-05-08T00:00:00"/>
    <x v="1"/>
    <n v="72"/>
    <n v="256806"/>
    <n v="11058"/>
    <n v="132696"/>
  </r>
  <r>
    <n v="5044"/>
    <s v="Academia FitSolar "/>
    <x v="9"/>
    <x v="1"/>
    <d v="2024-05-11T00:00:00"/>
    <x v="1"/>
    <n v="47"/>
    <n v="179927"/>
    <n v="7486"/>
    <n v="89832"/>
  </r>
  <r>
    <n v="5045"/>
    <s v="Condomínio Solar Park "/>
    <x v="1"/>
    <x v="2"/>
    <d v="2024-05-14T00:00:00"/>
    <x v="0"/>
    <n v="6"/>
    <n v="26095"/>
    <n v="1015"/>
    <n v="12180"/>
  </r>
  <r>
    <n v="5046"/>
    <s v="Condomínio Solar Park "/>
    <x v="1"/>
    <x v="2"/>
    <d v="2024-05-18T00:00:00"/>
    <x v="0"/>
    <n v="14"/>
    <n v="58289"/>
    <n v="2331"/>
    <n v="27972"/>
  </r>
  <r>
    <n v="5047"/>
    <s v="Frigorífico Centro-Oeste "/>
    <x v="0"/>
    <x v="3"/>
    <d v="2024-05-21T00:00:00"/>
    <x v="1"/>
    <n v="255"/>
    <n v="869206"/>
    <n v="38426"/>
    <n v="461112"/>
  </r>
  <r>
    <n v="5048"/>
    <s v="Residencial Santos "/>
    <x v="0"/>
    <x v="2"/>
    <d v="2024-05-24T00:00:00"/>
    <x v="1"/>
    <n v="13"/>
    <n v="54502"/>
    <n v="2216"/>
    <n v="26592"/>
  </r>
  <r>
    <n v="5049"/>
    <s v="Farmácia Viva "/>
    <x v="2"/>
    <x v="1"/>
    <d v="2024-05-27T00:00:00"/>
    <x v="1"/>
    <n v="37"/>
    <n v="139766"/>
    <n v="5911"/>
    <n v="70932"/>
  </r>
  <r>
    <n v="5050"/>
    <s v="Residencial Oliveira "/>
    <x v="6"/>
    <x v="2"/>
    <d v="2024-05-30T00:00:00"/>
    <x v="0"/>
    <n v="12"/>
    <n v="51121"/>
    <n v="2052"/>
    <n v="24624"/>
  </r>
  <r>
    <n v="5051"/>
    <s v="Indústria Metalúrgica Brasil "/>
    <x v="9"/>
    <x v="3"/>
    <d v="2024-06-02T00:00:00"/>
    <x v="0"/>
    <n v="259"/>
    <n v="880377"/>
    <n v="38603"/>
    <n v="463236"/>
  </r>
  <r>
    <n v="5052"/>
    <s v="Posto de Combustível Ecogreen "/>
    <x v="6"/>
    <x v="1"/>
    <d v="2024-06-05T00:00:00"/>
    <x v="0"/>
    <n v="53"/>
    <n v="200619"/>
    <n v="8385"/>
    <n v="100620"/>
  </r>
  <r>
    <n v="5053"/>
    <s v="Condomínio Vista Verde "/>
    <x v="1"/>
    <x v="2"/>
    <d v="2024-06-08T00:00:00"/>
    <x v="1"/>
    <n v="5"/>
    <n v="20635"/>
    <n v="829"/>
    <n v="9948"/>
  </r>
  <r>
    <n v="5054"/>
    <s v="Livraria Conhecimento "/>
    <x v="1"/>
    <x v="1"/>
    <d v="2024-06-11T00:00:00"/>
    <x v="1"/>
    <n v="69"/>
    <n v="261569"/>
    <n v="11056"/>
    <n v="132672"/>
  </r>
  <r>
    <n v="5055"/>
    <s v="Residencial Silva "/>
    <x v="1"/>
    <x v="2"/>
    <d v="2024-06-14T00:00:00"/>
    <x v="0"/>
    <n v="13"/>
    <n v="54233"/>
    <n v="2160"/>
    <n v="25920"/>
  </r>
  <r>
    <n v="5056"/>
    <s v="Oficina AutoEco "/>
    <x v="3"/>
    <x v="1"/>
    <d v="2024-06-17T00:00:00"/>
    <x v="1"/>
    <n v="54"/>
    <n v="206508"/>
    <n v="8656"/>
    <n v="103872"/>
  </r>
  <r>
    <n v="5057"/>
    <s v="Residencial Santos "/>
    <x v="2"/>
    <x v="2"/>
    <d v="2024-06-20T00:00:00"/>
    <x v="0"/>
    <n v="9"/>
    <n v="37660"/>
    <n v="1546"/>
    <n v="18552"/>
  </r>
  <r>
    <n v="5058"/>
    <s v="Oficina AutoEco "/>
    <x v="0"/>
    <x v="1"/>
    <d v="2024-06-23T00:00:00"/>
    <x v="0"/>
    <n v="43"/>
    <n v="162643"/>
    <n v="6848"/>
    <n v="82176"/>
  </r>
  <r>
    <n v="5059"/>
    <s v="Posto de Combustível Ecogreen "/>
    <x v="1"/>
    <x v="1"/>
    <d v="2024-06-26T00:00:00"/>
    <x v="0"/>
    <n v="26"/>
    <n v="99759"/>
    <n v="4235"/>
    <n v="50820"/>
  </r>
  <r>
    <n v="5060"/>
    <s v="Posto de Combustível Ecogreen "/>
    <x v="7"/>
    <x v="1"/>
    <d v="2024-06-29T00:00:00"/>
    <x v="1"/>
    <n v="37"/>
    <n v="140385"/>
    <n v="5829"/>
    <n v="69948"/>
  </r>
  <r>
    <n v="5061"/>
    <s v="Textil Alvorada "/>
    <x v="4"/>
    <x v="3"/>
    <d v="2024-07-03T00:00:00"/>
    <x v="1"/>
    <n v="226"/>
    <n v="765889"/>
    <n v="33924"/>
    <n v="407088"/>
  </r>
  <r>
    <n v="5062"/>
    <s v="Condomínio Solar Park "/>
    <x v="2"/>
    <x v="2"/>
    <d v="2024-07-06T00:00:00"/>
    <x v="0"/>
    <n v="4"/>
    <n v="16695"/>
    <n v="661"/>
    <n v="7932"/>
  </r>
  <r>
    <n v="5063"/>
    <s v="Condomínio Vista Verde "/>
    <x v="4"/>
    <x v="2"/>
    <d v="2024-07-09T00:00:00"/>
    <x v="1"/>
    <n v="4"/>
    <n v="17752"/>
    <n v="690"/>
    <n v="8280"/>
  </r>
  <r>
    <n v="5064"/>
    <s v="Fazenda Santa Luzia "/>
    <x v="6"/>
    <x v="0"/>
    <d v="2024-07-12T00:00:00"/>
    <x v="1"/>
    <n v="59"/>
    <n v="213313"/>
    <n v="8987"/>
    <n v="107844"/>
  </r>
  <r>
    <n v="5065"/>
    <s v="Padaria Solar "/>
    <x v="1"/>
    <x v="1"/>
    <d v="2024-07-15T00:00:00"/>
    <x v="1"/>
    <n v="65"/>
    <n v="245753"/>
    <n v="10334"/>
    <n v="124008"/>
  </r>
  <r>
    <n v="5066"/>
    <s v="Condomínio Solar Park "/>
    <x v="0"/>
    <x v="2"/>
    <d v="2024-07-18T00:00:00"/>
    <x v="1"/>
    <n v="13"/>
    <n v="54621"/>
    <n v="2193"/>
    <n v="26316"/>
  </r>
  <r>
    <n v="5067"/>
    <s v="Condomínio Solar Park "/>
    <x v="0"/>
    <x v="2"/>
    <d v="2024-07-21T00:00:00"/>
    <x v="0"/>
    <n v="14"/>
    <n v="58212"/>
    <n v="2365"/>
    <n v="28380"/>
  </r>
  <r>
    <n v="5068"/>
    <s v="Fazenda Santa Luzia "/>
    <x v="3"/>
    <x v="0"/>
    <d v="2024-07-24T00:00:00"/>
    <x v="1"/>
    <n v="92"/>
    <n v="331167"/>
    <n v="14251"/>
    <n v="171012"/>
  </r>
  <r>
    <n v="5069"/>
    <s v="Residencial Silva "/>
    <x v="6"/>
    <x v="2"/>
    <d v="2024-07-27T00:00:00"/>
    <x v="1"/>
    <n v="10"/>
    <n v="41095"/>
    <n v="1673"/>
    <n v="20076"/>
  </r>
  <r>
    <n v="5070"/>
    <s v="Residencial Santos "/>
    <x v="5"/>
    <x v="2"/>
    <d v="2024-07-30T00:00:00"/>
    <x v="1"/>
    <n v="10"/>
    <n v="41216"/>
    <n v="1748"/>
    <n v="20976"/>
  </r>
  <r>
    <n v="5071"/>
    <s v="Fazenda Boa Esperança "/>
    <x v="1"/>
    <x v="0"/>
    <d v="2024-08-02T00:00:00"/>
    <x v="1"/>
    <n v="32"/>
    <n v="112898"/>
    <n v="4778"/>
    <n v="57336"/>
  </r>
  <r>
    <n v="5072"/>
    <s v="Oficina AutoEco "/>
    <x v="3"/>
    <x v="1"/>
    <d v="2024-08-05T00:00:00"/>
    <x v="0"/>
    <n v="21"/>
    <n v="79619"/>
    <n v="3387"/>
    <n v="40644"/>
  </r>
  <r>
    <n v="5073"/>
    <s v="Residencial Santos "/>
    <x v="3"/>
    <x v="2"/>
    <d v="2024-08-08T00:00:00"/>
    <x v="1"/>
    <n v="6"/>
    <n v="24595"/>
    <n v="994"/>
    <n v="11928"/>
  </r>
  <r>
    <n v="5074"/>
    <s v="Oficina AutoEco "/>
    <x v="6"/>
    <x v="1"/>
    <d v="2024-08-11T00:00:00"/>
    <x v="0"/>
    <n v="53"/>
    <n v="201556"/>
    <n v="8560"/>
    <n v="102720"/>
  </r>
  <r>
    <n v="5075"/>
    <s v="Posto de Combustível Ecogreen "/>
    <x v="3"/>
    <x v="1"/>
    <d v="2024-08-14T00:00:00"/>
    <x v="1"/>
    <n v="49"/>
    <n v="185438"/>
    <n v="7814"/>
    <n v="93768"/>
  </r>
  <r>
    <n v="5076"/>
    <s v="Supermercado Pão de Açúcar "/>
    <x v="1"/>
    <x v="1"/>
    <d v="2024-08-18T00:00:00"/>
    <x v="0"/>
    <n v="52"/>
    <n v="197142"/>
    <n v="8393"/>
    <n v="100716"/>
  </r>
  <r>
    <n v="5077"/>
    <s v="Livraria Conhecimento "/>
    <x v="8"/>
    <x v="1"/>
    <d v="2024-08-21T00:00:00"/>
    <x v="0"/>
    <n v="16"/>
    <n v="60340"/>
    <n v="2488"/>
    <n v="29856"/>
  </r>
  <r>
    <n v="5078"/>
    <s v="Fazenda Santa Luzia "/>
    <x v="1"/>
    <x v="0"/>
    <d v="2024-08-24T00:00:00"/>
    <x v="1"/>
    <n v="36"/>
    <n v="127110"/>
    <n v="5706"/>
    <n v="68472"/>
  </r>
  <r>
    <n v="5079"/>
    <s v="Laticínios Minas "/>
    <x v="9"/>
    <x v="3"/>
    <d v="2024-08-27T00:00:00"/>
    <x v="1"/>
    <n v="268"/>
    <n v="909123"/>
    <n v="40081"/>
    <n v="480972"/>
  </r>
  <r>
    <n v="5080"/>
    <s v="Farmácia Viva "/>
    <x v="8"/>
    <x v="1"/>
    <d v="2024-08-30T00:00:00"/>
    <x v="1"/>
    <n v="59"/>
    <n v="222852"/>
    <n v="9465"/>
    <n v="113580"/>
  </r>
  <r>
    <n v="5081"/>
    <s v="Oficina AutoEco "/>
    <x v="1"/>
    <x v="1"/>
    <d v="2024-09-02T00:00:00"/>
    <x v="1"/>
    <n v="53"/>
    <n v="202472"/>
    <n v="8510"/>
    <n v="102120"/>
  </r>
  <r>
    <n v="5082"/>
    <s v="Fazenda Santa Luzia "/>
    <x v="6"/>
    <x v="0"/>
    <d v="2024-09-05T00:00:00"/>
    <x v="1"/>
    <n v="44"/>
    <n v="156223"/>
    <n v="6736"/>
    <n v="80832"/>
  </r>
  <r>
    <n v="5083"/>
    <s v="Posto de Combustível Ecogreen "/>
    <x v="9"/>
    <x v="1"/>
    <d v="2024-09-08T00:00:00"/>
    <x v="0"/>
    <n v="30"/>
    <n v="114933"/>
    <n v="4863"/>
    <n v="58356"/>
  </r>
  <r>
    <n v="5084"/>
    <s v="Fazenda Santa Luzia "/>
    <x v="6"/>
    <x v="0"/>
    <d v="2024-09-11T00:00:00"/>
    <x v="1"/>
    <n v="68"/>
    <n v="247445"/>
    <n v="10482"/>
    <n v="125784"/>
  </r>
  <r>
    <n v="5085"/>
    <s v="Residencial Silva "/>
    <x v="3"/>
    <x v="2"/>
    <d v="2024-09-14T00:00:00"/>
    <x v="1"/>
    <n v="14"/>
    <n v="58835"/>
    <n v="2403"/>
    <n v="28836"/>
  </r>
  <r>
    <n v="5086"/>
    <s v="Plásticos Sustentáveis "/>
    <x v="9"/>
    <x v="3"/>
    <d v="2024-09-17T00:00:00"/>
    <x v="1"/>
    <n v="196"/>
    <n v="670737"/>
    <n v="29447"/>
    <n v="353364"/>
  </r>
  <r>
    <n v="5087"/>
    <s v="Posto de Combustível Ecogreen "/>
    <x v="2"/>
    <x v="1"/>
    <d v="2024-09-20T00:00:00"/>
    <x v="1"/>
    <n v="55"/>
    <n v="207739"/>
    <n v="8891"/>
    <n v="106692"/>
  </r>
  <r>
    <n v="5088"/>
    <s v="Posto de Combustível Ecogreen "/>
    <x v="3"/>
    <x v="1"/>
    <d v="2024-09-23T00:00:00"/>
    <x v="1"/>
    <n v="34"/>
    <n v="129708"/>
    <n v="5496"/>
    <n v="65952"/>
  </r>
  <r>
    <n v="5089"/>
    <s v="Farmácia Viva "/>
    <x v="1"/>
    <x v="1"/>
    <d v="2024-09-26T00:00:00"/>
    <x v="0"/>
    <n v="19"/>
    <n v="72038"/>
    <n v="3092"/>
    <n v="37104"/>
  </r>
  <r>
    <n v="5090"/>
    <s v="Fazenda Santa Luzia "/>
    <x v="3"/>
    <x v="0"/>
    <d v="2024-09-29T00:00:00"/>
    <x v="0"/>
    <n v="24"/>
    <n v="84415"/>
    <n v="3808"/>
    <n v="45696"/>
  </r>
  <r>
    <n v="5091"/>
    <s v="Residencial Oliveira "/>
    <x v="8"/>
    <x v="2"/>
    <d v="2024-10-03T00:00:00"/>
    <x v="0"/>
    <n v="8"/>
    <n v="33905"/>
    <n v="1372"/>
    <n v="16464"/>
  </r>
  <r>
    <n v="5092"/>
    <s v="Indústria Metalúrgica Brasil "/>
    <x v="3"/>
    <x v="3"/>
    <d v="2024-10-06T00:00:00"/>
    <x v="1"/>
    <n v="177"/>
    <n v="604066"/>
    <n v="26760"/>
    <n v="321120"/>
  </r>
  <r>
    <n v="5093"/>
    <s v="Supermercado Pão de Açúcar "/>
    <x v="0"/>
    <x v="1"/>
    <d v="2024-10-09T00:00:00"/>
    <x v="0"/>
    <n v="19"/>
    <n v="74134"/>
    <n v="3072"/>
    <n v="36864"/>
  </r>
  <r>
    <n v="5094"/>
    <s v="Residencial Santos "/>
    <x v="9"/>
    <x v="2"/>
    <d v="2024-10-12T00:00:00"/>
    <x v="0"/>
    <n v="13"/>
    <n v="55081"/>
    <n v="2242"/>
    <n v="26904"/>
  </r>
  <r>
    <n v="5095"/>
    <s v="Residencial Oliveira "/>
    <x v="0"/>
    <x v="2"/>
    <d v="2024-10-15T00:00:00"/>
    <x v="1"/>
    <n v="7"/>
    <n v="29869"/>
    <n v="1204"/>
    <n v="14448"/>
  </r>
  <r>
    <n v="5096"/>
    <s v="Condomínio Solar Park "/>
    <x v="2"/>
    <x v="2"/>
    <d v="2024-10-18T00:00:00"/>
    <x v="1"/>
    <n v="13"/>
    <n v="54273"/>
    <n v="2213"/>
    <n v="26556"/>
  </r>
  <r>
    <n v="5097"/>
    <s v="Condomínio Eco Life "/>
    <x v="8"/>
    <x v="2"/>
    <d v="2024-10-21T00:00:00"/>
    <x v="0"/>
    <n v="8"/>
    <n v="33589"/>
    <n v="1403"/>
    <n v="16836"/>
  </r>
  <r>
    <n v="5098"/>
    <s v="Residencial Santos "/>
    <x v="7"/>
    <x v="2"/>
    <d v="2024-10-24T00:00:00"/>
    <x v="1"/>
    <n v="8"/>
    <n v="34533"/>
    <n v="1375"/>
    <n v="16500"/>
  </r>
  <r>
    <n v="5099"/>
    <s v="Sítio Sol Nascente "/>
    <x v="7"/>
    <x v="0"/>
    <d v="2024-10-27T00:00:00"/>
    <x v="1"/>
    <n v="57"/>
    <n v="203529"/>
    <n v="8732"/>
    <n v="104784"/>
  </r>
  <r>
    <n v="5100"/>
    <s v="Condomínio Solar Park "/>
    <x v="2"/>
    <x v="2"/>
    <d v="2024-10-30T00:00:00"/>
    <x v="1"/>
    <n v="7"/>
    <n v="28648"/>
    <n v="1177"/>
    <n v="14124"/>
  </r>
  <r>
    <n v="5101"/>
    <s v="Sítio Sol Nascente "/>
    <x v="3"/>
    <x v="0"/>
    <d v="2024-11-02T00:00:00"/>
    <x v="1"/>
    <n v="70"/>
    <n v="251128"/>
    <n v="10782"/>
    <n v="129384"/>
  </r>
  <r>
    <n v="5102"/>
    <s v="Residencial Silva "/>
    <x v="7"/>
    <x v="2"/>
    <d v="2024-11-05T00:00:00"/>
    <x v="0"/>
    <n v="7"/>
    <n v="29383"/>
    <n v="1208"/>
    <n v="14496"/>
  </r>
  <r>
    <n v="5103"/>
    <s v="Residencial Oliveira "/>
    <x v="9"/>
    <x v="2"/>
    <d v="2024-11-08T00:00:00"/>
    <x v="1"/>
    <n v="14"/>
    <n v="59575"/>
    <n v="2404"/>
    <n v="28848"/>
  </r>
  <r>
    <n v="5104"/>
    <s v="Shopping Centervale "/>
    <x v="1"/>
    <x v="1"/>
    <d v="2024-11-11T00:00:00"/>
    <x v="1"/>
    <n v="30"/>
    <n v="115591"/>
    <n v="4831"/>
    <n v="57972"/>
  </r>
  <r>
    <n v="5105"/>
    <s v="Farmácia Viva "/>
    <x v="1"/>
    <x v="1"/>
    <d v="2024-11-14T00:00:00"/>
    <x v="0"/>
    <n v="41"/>
    <n v="153892"/>
    <n v="6619"/>
    <n v="79428"/>
  </r>
  <r>
    <n v="5106"/>
    <s v="Posto de Combustível Ecogreen "/>
    <x v="1"/>
    <x v="1"/>
    <d v="2024-11-18T00:00:00"/>
    <x v="1"/>
    <n v="32"/>
    <n v="120203"/>
    <n v="5189"/>
    <n v="62268"/>
  </r>
  <r>
    <n v="5107"/>
    <s v="Oficina AutoEco "/>
    <x v="1"/>
    <x v="1"/>
    <d v="2024-11-21T00:00:00"/>
    <x v="1"/>
    <n v="26"/>
    <n v="99193"/>
    <n v="4105"/>
    <n v="49260"/>
  </r>
  <r>
    <n v="5108"/>
    <s v="Residencial Silva "/>
    <x v="0"/>
    <x v="2"/>
    <d v="2024-11-24T00:00:00"/>
    <x v="0"/>
    <n v="13"/>
    <n v="53848"/>
    <n v="2206"/>
    <n v="26472"/>
  </r>
  <r>
    <n v="5109"/>
    <s v="Supermercado Pão de Açúcar "/>
    <x v="2"/>
    <x v="1"/>
    <d v="2024-11-27T00:00:00"/>
    <x v="0"/>
    <n v="40"/>
    <n v="152851"/>
    <n v="6300"/>
    <n v="75600"/>
  </r>
  <r>
    <n v="5110"/>
    <s v="Condomínio Eco Life "/>
    <x v="1"/>
    <x v="2"/>
    <d v="2024-11-30T00:00:00"/>
    <x v="0"/>
    <n v="13"/>
    <n v="53627"/>
    <n v="2246"/>
    <n v="26952"/>
  </r>
  <r>
    <n v="5111"/>
    <s v="Residencial Oliveira "/>
    <x v="6"/>
    <x v="2"/>
    <d v="2024-12-03T00:00:00"/>
    <x v="1"/>
    <n v="11"/>
    <n v="46082"/>
    <n v="1826"/>
    <n v="21912"/>
  </r>
  <r>
    <n v="5112"/>
    <s v="Plásticos Sustentáveis "/>
    <x v="2"/>
    <x v="3"/>
    <d v="2024-12-06T00:00:00"/>
    <x v="0"/>
    <n v="97"/>
    <n v="332473"/>
    <n v="14264"/>
    <n v="171168"/>
  </r>
  <r>
    <n v="5113"/>
    <s v="Residencial Silva "/>
    <x v="1"/>
    <x v="2"/>
    <d v="2024-12-09T00:00:00"/>
    <x v="1"/>
    <n v="4"/>
    <n v="17054"/>
    <n v="715"/>
    <n v="8580"/>
  </r>
  <r>
    <n v="5114"/>
    <s v="Hotel Pousada Sol "/>
    <x v="0"/>
    <x v="1"/>
    <d v="2024-12-12T00:00:00"/>
    <x v="0"/>
    <n v="39"/>
    <n v="147803"/>
    <n v="6277"/>
    <n v="75324"/>
  </r>
  <r>
    <n v="5115"/>
    <s v="Condomínio Eco Life "/>
    <x v="7"/>
    <x v="2"/>
    <d v="2024-12-15T00:00:00"/>
    <x v="1"/>
    <n v="5"/>
    <n v="20622"/>
    <n v="807"/>
    <n v="9684"/>
  </r>
  <r>
    <n v="5116"/>
    <s v="Residencial Santos "/>
    <x v="6"/>
    <x v="2"/>
    <d v="2024-12-18T00:00:00"/>
    <x v="1"/>
    <n v="9"/>
    <n v="37491"/>
    <n v="1505"/>
    <n v="18060"/>
  </r>
  <r>
    <n v="5117"/>
    <s v="Shopping Centervale "/>
    <x v="2"/>
    <x v="1"/>
    <d v="2024-12-21T00:00:00"/>
    <x v="1"/>
    <n v="51"/>
    <n v="195248"/>
    <n v="8092"/>
    <n v="97104"/>
  </r>
  <r>
    <n v="5118"/>
    <s v="Hotel Pousada Sol "/>
    <x v="1"/>
    <x v="1"/>
    <d v="2024-12-24T00:00:00"/>
    <x v="1"/>
    <n v="44"/>
    <n v="168090"/>
    <n v="7129"/>
    <n v="85548"/>
  </r>
  <r>
    <n v="5119"/>
    <s v="Academia FitSolar "/>
    <x v="0"/>
    <x v="1"/>
    <d v="2024-12-27T00:00:00"/>
    <x v="0"/>
    <n v="17"/>
    <n v="62842"/>
    <n v="2650"/>
    <n v="31800"/>
  </r>
  <r>
    <n v="5120"/>
    <s v="Sítio Sol Nascente "/>
    <x v="3"/>
    <x v="0"/>
    <d v="2024-12-31T00:00:00"/>
    <x v="1"/>
    <n v="94"/>
    <n v="335403"/>
    <n v="14704"/>
    <n v="1764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5D63E-EC04-4FE9-9F3A-0AF170D28892}" name="Tabela dinâmica7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L8:M13" firstHeaderRow="1" firstDataRow="1" firstDataCol="1"/>
  <pivotFields count="10">
    <pivotField compact="0" outline="0" showAll="0"/>
    <pivotField compact="0" outline="0" showAll="0"/>
    <pivotField compact="0" outline="0" showAll="0">
      <items count="11">
        <item h="1" x="8"/>
        <item h="1" x="7"/>
        <item h="1" x="4"/>
        <item x="0"/>
        <item h="1" x="5"/>
        <item h="1" x="2"/>
        <item h="1" x="3"/>
        <item h="1" x="6"/>
        <item h="1" x="9"/>
        <item h="1" x="1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Economia_Anual_RS" fld="9" baseField="0" baseItem="0" numFmtId="8"/>
  </dataFields>
  <formats count="6">
    <format dxfId="5">
      <pivotArea type="all" dataOnly="0" outline="0" fieldPosition="0"/>
    </format>
    <format dxfId="6">
      <pivotArea outline="0" collapsedLevelsAreSubtotals="1" fieldPosition="0"/>
    </format>
    <format dxfId="7">
      <pivotArea field="3" type="button" dataOnly="0" labelOnly="1" outline="0" axis="axisRow" fieldPosition="0"/>
    </format>
    <format dxfId="8">
      <pivotArea dataOnly="0" labelOnly="1" outline="0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ED5B0-73E4-4EA4-AB13-114264DABA5C}" name="Tabela dinâmica2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3:F6" firstHeaderRow="1" firstDataRow="1" firstDataCol="1"/>
  <pivotFields count="10">
    <pivotField compact="0" outline="0" showAll="0"/>
    <pivotField compact="0" outline="0" showAll="0"/>
    <pivotField compact="0" outline="0" showAll="0">
      <items count="11">
        <item x="8"/>
        <item x="7"/>
        <item x="4"/>
        <item x="0"/>
        <item x="5"/>
        <item x="2"/>
        <item x="3"/>
        <item x="6"/>
        <item x="9"/>
        <item x="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Economia_Anual_RS" fld="9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6DC7D-A270-4D74-8804-8A444671ADE8}" name="Tabela dinâmica1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11">
        <item x="8"/>
        <item x="7"/>
        <item x="4"/>
        <item x="0"/>
        <item x="5"/>
        <item x="2"/>
        <item x="3"/>
        <item x="6"/>
        <item x="9"/>
        <item x="1"/>
        <item t="default"/>
      </items>
    </pivotField>
    <pivotField compact="0" outline="0" showAll="0">
      <items count="5">
        <item x="1"/>
        <item h="1" x="3"/>
        <item h="1" x="2"/>
        <item h="1" x="0"/>
        <item t="default"/>
      </items>
    </pivotField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Economia_Anual_RS" fld="9" baseField="0" baseItem="0" numFmtId="8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8FCEA-EE2B-4AB3-A46C-48F8ABA8CA0C}" name="Tabela dinâmica4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M3:N8" firstHeaderRow="1" firstDataRow="1" firstDataCol="1"/>
  <pivotFields count="10">
    <pivotField compact="0" outline="0" showAll="0"/>
    <pivotField compact="0" outline="0" showAll="0"/>
    <pivotField compact="0" outline="0" showAll="0">
      <items count="11">
        <item x="8"/>
        <item x="7"/>
        <item x="4"/>
        <item x="0"/>
        <item x="5"/>
        <item x="2"/>
        <item x="3"/>
        <item x="6"/>
        <item x="9"/>
        <item x="1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compact="0" numFmtId="14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Economia_Anual_RS" fld="9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FF3C4-97DA-48F6-927A-D8F884A3DB81}" name="Tabela dinâmica3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3:J8" firstHeaderRow="1" firstDataRow="1" firstDataCol="1"/>
  <pivotFields count="10">
    <pivotField compact="0" outline="0" showAll="0"/>
    <pivotField compact="0" outline="0" showAll="0"/>
    <pivotField compact="0" outline="0" showAll="0">
      <items count="11">
        <item x="8"/>
        <item x="7"/>
        <item x="4"/>
        <item x="0"/>
        <item x="5"/>
        <item x="2"/>
        <item x="3"/>
        <item x="6"/>
        <item x="9"/>
        <item x="1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compact="0" numFmtId="14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Economia_Anual_RS" fld="9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" xr10:uid="{80EC7558-1278-4FD2-A2AA-3E496615B673}" sourceName="UF">
  <pivotTables>
    <pivotTable tabId="4" name="Tabela dinâmica7"/>
  </pivotTables>
  <data>
    <tabular pivotCacheId="289616508">
      <items count="10">
        <i x="8"/>
        <i x="7"/>
        <i x="4"/>
        <i x="0" s="1"/>
        <i x="5"/>
        <i x="2"/>
        <i x="3"/>
        <i x="6"/>
        <i x="9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F" xr10:uid="{3C7384A0-2B59-4043-8D91-E3490A07CF84}" cache="SegmentaçãodeDados_UF" caption="UF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F989B-0B9A-477C-AA68-23575A882B55}" name="Tabela_Solar" displayName="Tabela_Solar" ref="A1:J121" totalsRowShown="0" headerRowDxfId="4">
  <autoFilter ref="A1:J121" xr:uid="{E5CF989B-0B9A-477C-AA68-23575A882B55}"/>
  <tableColumns count="10">
    <tableColumn id="1" xr3:uid="{5A32290E-1B99-404E-81D3-72119C467538}" name="ID_Instalacao"/>
    <tableColumn id="2" xr3:uid="{CD94B767-6094-4C81-9C87-B55A727D0F81}" name="Nome_Cliente"/>
    <tableColumn id="3" xr3:uid="{E23ACD57-3A9B-4D08-BF5F-12B0CA429410}" name="UF"/>
    <tableColumn id="4" xr3:uid="{B5FE5CC9-8517-4F6B-BC75-ADF4165BF6BD}" name="Classe_Consumo"/>
    <tableColumn id="5" xr3:uid="{11045064-3425-488B-8E6C-0879FC7B7AC9}" name="Data_Conexao" dataDxfId="3"/>
    <tableColumn id="6" xr3:uid="{D29E50AE-B686-4288-9713-A6FA3B9AF130}" name="Tipo_Conexao"/>
    <tableColumn id="7" xr3:uid="{F5D0D439-EE47-4C61-A038-6D0F3C84216D}" name="Potencia_kW"/>
    <tableColumn id="8" xr3:uid="{4E0E9D45-0F30-4BAE-9F3F-8989B6EB8D21}" name="Investimento_RS" dataDxfId="2"/>
    <tableColumn id="9" xr3:uid="{F47CCC51-97F8-456B-98AD-82EE91B345B6}" name="Economia_Mensal_RS" dataDxfId="1"/>
    <tableColumn id="10" xr3:uid="{EF49F17B-2615-48E4-AF0E-1D46726284AA}" name="Economia_Anual_R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13BB-EEEF-4BE9-B7FC-F1F87B2608DA}">
  <dimension ref="C1:M22"/>
  <sheetViews>
    <sheetView workbookViewId="0">
      <selection activeCell="C1" sqref="C1:M1"/>
    </sheetView>
  </sheetViews>
  <sheetFormatPr defaultRowHeight="15"/>
  <cols>
    <col min="1" max="1" width="4.140625" customWidth="1"/>
    <col min="2" max="2" width="3.42578125" customWidth="1"/>
    <col min="3" max="3" width="23" bestFit="1" customWidth="1"/>
    <col min="4" max="4" width="28.140625" customWidth="1"/>
    <col min="5" max="5" width="6.140625" customWidth="1"/>
    <col min="6" max="6" width="35.140625" customWidth="1"/>
    <col min="7" max="7" width="2.7109375" customWidth="1"/>
    <col min="8" max="8" width="3.5703125" customWidth="1"/>
    <col min="9" max="9" width="38.42578125" customWidth="1"/>
    <col min="10" max="10" width="3.42578125" customWidth="1"/>
    <col min="11" max="11" width="3.7109375" customWidth="1"/>
    <col min="12" max="12" width="24.28515625" customWidth="1"/>
    <col min="13" max="13" width="28.140625" bestFit="1" customWidth="1"/>
  </cols>
  <sheetData>
    <row r="1" spans="3:13" ht="25.5">
      <c r="C1" s="9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</row>
    <row r="2" spans="3:13" ht="16.5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3:13" ht="16.5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3:13" ht="21" customHeight="1">
      <c r="C4" s="14" t="s">
        <v>1</v>
      </c>
      <c r="D4" s="15"/>
      <c r="E4" s="16"/>
      <c r="F4" s="17" t="s">
        <v>2</v>
      </c>
      <c r="G4" s="16"/>
      <c r="H4" s="16"/>
      <c r="I4" s="17" t="s">
        <v>3</v>
      </c>
      <c r="J4" s="16"/>
      <c r="K4" s="16"/>
      <c r="L4" s="17" t="s">
        <v>4</v>
      </c>
      <c r="M4" s="10"/>
    </row>
    <row r="5" spans="3:13" ht="15" customHeight="1">
      <c r="C5" s="11">
        <f>Cálculos!B14</f>
        <v>10367472</v>
      </c>
      <c r="D5" s="12"/>
      <c r="E5" s="10"/>
      <c r="F5" s="13">
        <f>Cálculos!F6</f>
        <v>10367472</v>
      </c>
      <c r="G5" s="10"/>
      <c r="H5" s="10"/>
      <c r="I5" s="13">
        <f>Cálculos!J8</f>
        <v>10367472</v>
      </c>
      <c r="J5" s="10"/>
      <c r="K5" s="10"/>
      <c r="L5" s="13">
        <f>Cálculos!N8</f>
        <v>10367472</v>
      </c>
      <c r="M5" s="10"/>
    </row>
    <row r="6" spans="3:13" ht="16.5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 t="s">
        <v>5</v>
      </c>
      <c r="M8" s="5" t="s">
        <v>6</v>
      </c>
    </row>
    <row r="9" spans="3:13">
      <c r="C9" s="5"/>
      <c r="D9" s="5"/>
      <c r="E9" s="5"/>
      <c r="F9" s="6"/>
      <c r="G9" s="6"/>
      <c r="H9" s="5"/>
      <c r="I9" s="5"/>
      <c r="J9" s="5"/>
      <c r="K9" s="5"/>
      <c r="L9" s="5" t="s">
        <v>7</v>
      </c>
      <c r="M9" s="6">
        <v>589344</v>
      </c>
    </row>
    <row r="10" spans="3:13">
      <c r="C10" s="5"/>
      <c r="D10" s="5"/>
      <c r="E10" s="5"/>
      <c r="F10" s="6"/>
      <c r="G10" s="6"/>
      <c r="H10" s="5"/>
      <c r="I10" s="5"/>
      <c r="J10" s="5"/>
      <c r="K10" s="5"/>
      <c r="L10" s="5" t="s">
        <v>8</v>
      </c>
      <c r="M10" s="6">
        <v>461112</v>
      </c>
    </row>
    <row r="11" spans="3:13">
      <c r="C11" s="5"/>
      <c r="D11" s="5"/>
      <c r="E11" s="5"/>
      <c r="F11" s="6"/>
      <c r="G11" s="6"/>
      <c r="H11" s="5"/>
      <c r="I11" s="5"/>
      <c r="J11" s="5"/>
      <c r="K11" s="5"/>
      <c r="L11" s="5" t="s">
        <v>9</v>
      </c>
      <c r="M11" s="6">
        <v>174468</v>
      </c>
    </row>
    <row r="12" spans="3:13">
      <c r="C12" s="5"/>
      <c r="D12" s="5"/>
      <c r="E12" s="5"/>
      <c r="F12" s="6"/>
      <c r="G12" s="6"/>
      <c r="H12" s="5"/>
      <c r="I12" s="5"/>
      <c r="J12" s="5"/>
      <c r="K12" s="5"/>
      <c r="L12" s="5" t="s">
        <v>10</v>
      </c>
      <c r="M12" s="6">
        <v>207576</v>
      </c>
    </row>
    <row r="13" spans="3:13">
      <c r="C13" s="5"/>
      <c r="D13" s="5"/>
      <c r="E13" s="5"/>
      <c r="F13" s="6"/>
      <c r="G13" s="6"/>
      <c r="H13" s="5"/>
      <c r="I13" s="5"/>
      <c r="J13" s="5"/>
      <c r="K13" s="5"/>
      <c r="L13" s="5" t="s">
        <v>11</v>
      </c>
      <c r="M13" s="6">
        <v>1432500</v>
      </c>
    </row>
    <row r="14" spans="3:13">
      <c r="C14" s="5"/>
      <c r="D14" s="5"/>
      <c r="E14" s="5"/>
      <c r="F14" s="6"/>
      <c r="G14" s="6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6"/>
      <c r="G15" s="6"/>
      <c r="H15" s="5"/>
      <c r="I15" s="5"/>
      <c r="J15" s="5"/>
      <c r="K15" s="5"/>
      <c r="L15" s="5"/>
      <c r="M15" s="5"/>
    </row>
    <row r="16" spans="3:13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3:13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3:13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3:13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3:13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3:13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3:13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</sheetData>
  <mergeCells count="3">
    <mergeCell ref="C4:D4"/>
    <mergeCell ref="C5:D5"/>
    <mergeCell ref="C1:M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C1EB-6B1B-4BB0-BF0D-F01D7B428183}">
  <dimension ref="A1:J121"/>
  <sheetViews>
    <sheetView workbookViewId="0"/>
  </sheetViews>
  <sheetFormatPr defaultRowHeight="15"/>
  <cols>
    <col min="1" max="1" width="15.5703125" bestFit="1" customWidth="1"/>
    <col min="2" max="2" width="29.42578125" bestFit="1" customWidth="1"/>
    <col min="3" max="3" width="18.42578125" bestFit="1" customWidth="1"/>
    <col min="4" max="4" width="16.5703125" bestFit="1" customWidth="1"/>
    <col min="5" max="5" width="16.28515625" bestFit="1" customWidth="1"/>
    <col min="6" max="6" width="15.140625" bestFit="1" customWidth="1"/>
    <col min="7" max="7" width="18.7109375" bestFit="1" customWidth="1"/>
    <col min="8" max="8" width="23.28515625" bestFit="1" customWidth="1"/>
    <col min="9" max="10" width="22" bestFit="1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5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</row>
    <row r="2" spans="1:10">
      <c r="A2">
        <v>5001</v>
      </c>
      <c r="B2" t="s">
        <v>21</v>
      </c>
      <c r="C2" t="s">
        <v>22</v>
      </c>
      <c r="D2" t="s">
        <v>10</v>
      </c>
      <c r="E2" s="1">
        <v>45292</v>
      </c>
      <c r="F2" t="s">
        <v>23</v>
      </c>
      <c r="G2">
        <v>40</v>
      </c>
      <c r="H2" s="2">
        <v>146734</v>
      </c>
      <c r="I2" s="2">
        <v>6121</v>
      </c>
      <c r="J2" s="2">
        <v>73452</v>
      </c>
    </row>
    <row r="3" spans="1:10">
      <c r="A3">
        <v>5002</v>
      </c>
      <c r="B3" t="s">
        <v>24</v>
      </c>
      <c r="C3" t="s">
        <v>25</v>
      </c>
      <c r="D3" t="s">
        <v>7</v>
      </c>
      <c r="E3" s="1">
        <v>45295</v>
      </c>
      <c r="F3" t="s">
        <v>23</v>
      </c>
      <c r="G3">
        <v>54</v>
      </c>
      <c r="H3" s="2">
        <v>206935</v>
      </c>
      <c r="I3" s="2">
        <v>8670</v>
      </c>
      <c r="J3" s="2">
        <v>104040</v>
      </c>
    </row>
    <row r="4" spans="1:10">
      <c r="A4">
        <v>5003</v>
      </c>
      <c r="B4" t="s">
        <v>26</v>
      </c>
      <c r="C4" t="s">
        <v>25</v>
      </c>
      <c r="D4" t="s">
        <v>10</v>
      </c>
      <c r="E4" s="1">
        <v>45298</v>
      </c>
      <c r="F4" t="s">
        <v>23</v>
      </c>
      <c r="G4">
        <v>21</v>
      </c>
      <c r="H4" s="2">
        <v>77911</v>
      </c>
      <c r="I4" s="2">
        <v>3331</v>
      </c>
      <c r="J4" s="2">
        <v>39972</v>
      </c>
    </row>
    <row r="5" spans="1:10">
      <c r="A5">
        <v>5004</v>
      </c>
      <c r="B5" t="s">
        <v>27</v>
      </c>
      <c r="C5" t="s">
        <v>28</v>
      </c>
      <c r="D5" t="s">
        <v>9</v>
      </c>
      <c r="E5" s="1">
        <v>45301</v>
      </c>
      <c r="F5" t="s">
        <v>29</v>
      </c>
      <c r="G5">
        <v>4</v>
      </c>
      <c r="H5" s="2">
        <v>16274</v>
      </c>
      <c r="I5" s="2">
        <v>688</v>
      </c>
      <c r="J5" s="2">
        <v>8256</v>
      </c>
    </row>
    <row r="6" spans="1:10">
      <c r="A6">
        <v>5005</v>
      </c>
      <c r="B6" t="s">
        <v>30</v>
      </c>
      <c r="C6" t="s">
        <v>31</v>
      </c>
      <c r="D6" t="s">
        <v>7</v>
      </c>
      <c r="E6" s="1">
        <v>45304</v>
      </c>
      <c r="F6" t="s">
        <v>23</v>
      </c>
      <c r="G6">
        <v>58</v>
      </c>
      <c r="H6" s="2">
        <v>222038</v>
      </c>
      <c r="I6" s="2">
        <v>9243</v>
      </c>
      <c r="J6" s="2">
        <v>110916</v>
      </c>
    </row>
    <row r="7" spans="1:10">
      <c r="A7">
        <v>5006</v>
      </c>
      <c r="B7" t="s">
        <v>32</v>
      </c>
      <c r="C7" t="s">
        <v>31</v>
      </c>
      <c r="D7" t="s">
        <v>8</v>
      </c>
      <c r="E7" s="1">
        <v>45307</v>
      </c>
      <c r="F7" t="s">
        <v>23</v>
      </c>
      <c r="G7">
        <v>246</v>
      </c>
      <c r="H7" s="2">
        <v>836793</v>
      </c>
      <c r="I7" s="2">
        <v>36987</v>
      </c>
      <c r="J7" s="2">
        <v>443844</v>
      </c>
    </row>
    <row r="8" spans="1:10">
      <c r="A8">
        <v>5007</v>
      </c>
      <c r="B8" t="s">
        <v>33</v>
      </c>
      <c r="C8" t="s">
        <v>34</v>
      </c>
      <c r="D8" t="s">
        <v>9</v>
      </c>
      <c r="E8" s="1">
        <v>45310</v>
      </c>
      <c r="F8" t="s">
        <v>29</v>
      </c>
      <c r="G8">
        <v>8</v>
      </c>
      <c r="H8" s="2">
        <v>33497</v>
      </c>
      <c r="I8" s="2">
        <v>1393</v>
      </c>
      <c r="J8" s="2">
        <v>16716</v>
      </c>
    </row>
    <row r="9" spans="1:10">
      <c r="A9">
        <v>5008</v>
      </c>
      <c r="B9" t="s">
        <v>35</v>
      </c>
      <c r="C9" t="s">
        <v>22</v>
      </c>
      <c r="D9" t="s">
        <v>9</v>
      </c>
      <c r="E9" s="1">
        <v>45313</v>
      </c>
      <c r="F9" t="s">
        <v>29</v>
      </c>
      <c r="G9">
        <v>4</v>
      </c>
      <c r="H9" s="2">
        <v>17755</v>
      </c>
      <c r="I9" s="2">
        <v>679</v>
      </c>
      <c r="J9" s="2">
        <v>8148</v>
      </c>
    </row>
    <row r="10" spans="1:10">
      <c r="A10">
        <v>5009</v>
      </c>
      <c r="B10" t="s">
        <v>36</v>
      </c>
      <c r="C10" t="s">
        <v>28</v>
      </c>
      <c r="D10" t="s">
        <v>7</v>
      </c>
      <c r="E10" s="1">
        <v>45316</v>
      </c>
      <c r="F10" t="s">
        <v>29</v>
      </c>
      <c r="G10">
        <v>18</v>
      </c>
      <c r="H10" s="2">
        <v>70293</v>
      </c>
      <c r="I10" s="2">
        <v>2970</v>
      </c>
      <c r="J10" s="2">
        <v>35640</v>
      </c>
    </row>
    <row r="11" spans="1:10">
      <c r="A11">
        <v>5010</v>
      </c>
      <c r="B11" t="s">
        <v>37</v>
      </c>
      <c r="C11" t="s">
        <v>38</v>
      </c>
      <c r="D11" t="s">
        <v>9</v>
      </c>
      <c r="E11" s="1">
        <v>45319</v>
      </c>
      <c r="F11" t="s">
        <v>29</v>
      </c>
      <c r="G11">
        <v>11</v>
      </c>
      <c r="H11" s="2">
        <v>46685</v>
      </c>
      <c r="I11" s="2">
        <v>1906</v>
      </c>
      <c r="J11" s="2">
        <v>22872</v>
      </c>
    </row>
    <row r="12" spans="1:10">
      <c r="A12">
        <v>5011</v>
      </c>
      <c r="B12" t="s">
        <v>21</v>
      </c>
      <c r="C12" t="s">
        <v>39</v>
      </c>
      <c r="D12" t="s">
        <v>10</v>
      </c>
      <c r="E12" s="1">
        <v>45322</v>
      </c>
      <c r="F12" t="s">
        <v>23</v>
      </c>
      <c r="G12">
        <v>72</v>
      </c>
      <c r="H12" s="2">
        <v>261087</v>
      </c>
      <c r="I12" s="2">
        <v>11176</v>
      </c>
      <c r="J12" s="2">
        <v>134112</v>
      </c>
    </row>
    <row r="13" spans="1:10">
      <c r="A13">
        <v>5012</v>
      </c>
      <c r="B13" t="s">
        <v>40</v>
      </c>
      <c r="C13" t="s">
        <v>22</v>
      </c>
      <c r="D13" t="s">
        <v>9</v>
      </c>
      <c r="E13" s="1">
        <v>45325</v>
      </c>
      <c r="F13" t="s">
        <v>29</v>
      </c>
      <c r="G13">
        <v>4</v>
      </c>
      <c r="H13" s="2">
        <v>17680</v>
      </c>
      <c r="I13" s="2">
        <v>700</v>
      </c>
      <c r="J13" s="2">
        <v>8400</v>
      </c>
    </row>
    <row r="14" spans="1:10">
      <c r="A14">
        <v>5013</v>
      </c>
      <c r="B14" t="s">
        <v>30</v>
      </c>
      <c r="C14" t="s">
        <v>31</v>
      </c>
      <c r="D14" t="s">
        <v>7</v>
      </c>
      <c r="E14" s="1">
        <v>45328</v>
      </c>
      <c r="F14" t="s">
        <v>29</v>
      </c>
      <c r="G14">
        <v>31</v>
      </c>
      <c r="H14" s="2">
        <v>116191</v>
      </c>
      <c r="I14" s="2">
        <v>5022</v>
      </c>
      <c r="J14" s="2">
        <v>60264</v>
      </c>
    </row>
    <row r="15" spans="1:10">
      <c r="A15">
        <v>5014</v>
      </c>
      <c r="B15" t="s">
        <v>33</v>
      </c>
      <c r="C15" t="s">
        <v>41</v>
      </c>
      <c r="D15" t="s">
        <v>9</v>
      </c>
      <c r="E15" s="1">
        <v>45331</v>
      </c>
      <c r="F15" t="s">
        <v>23</v>
      </c>
      <c r="G15">
        <v>12</v>
      </c>
      <c r="H15" s="2">
        <v>50451</v>
      </c>
      <c r="I15" s="2">
        <v>1996</v>
      </c>
      <c r="J15" s="2">
        <v>23952</v>
      </c>
    </row>
    <row r="16" spans="1:10">
      <c r="A16">
        <v>5015</v>
      </c>
      <c r="B16" t="s">
        <v>42</v>
      </c>
      <c r="C16" t="s">
        <v>38</v>
      </c>
      <c r="D16" t="s">
        <v>9</v>
      </c>
      <c r="E16" s="1">
        <v>45334</v>
      </c>
      <c r="F16" t="s">
        <v>29</v>
      </c>
      <c r="G16">
        <v>11</v>
      </c>
      <c r="H16" s="2">
        <v>46004</v>
      </c>
      <c r="I16" s="2">
        <v>1918</v>
      </c>
      <c r="J16" s="2">
        <v>23016</v>
      </c>
    </row>
    <row r="17" spans="1:10">
      <c r="A17">
        <v>5016</v>
      </c>
      <c r="B17" t="s">
        <v>30</v>
      </c>
      <c r="C17" t="s">
        <v>39</v>
      </c>
      <c r="D17" t="s">
        <v>7</v>
      </c>
      <c r="E17" s="1">
        <v>45338</v>
      </c>
      <c r="F17" t="s">
        <v>29</v>
      </c>
      <c r="G17">
        <v>51</v>
      </c>
      <c r="H17" s="2">
        <v>193285</v>
      </c>
      <c r="I17" s="2">
        <v>8190</v>
      </c>
      <c r="J17" s="2">
        <v>98280</v>
      </c>
    </row>
    <row r="18" spans="1:10">
      <c r="A18">
        <v>5017</v>
      </c>
      <c r="B18" t="s">
        <v>35</v>
      </c>
      <c r="C18" t="s">
        <v>43</v>
      </c>
      <c r="D18" t="s">
        <v>9</v>
      </c>
      <c r="E18" s="1">
        <v>45341</v>
      </c>
      <c r="F18" t="s">
        <v>23</v>
      </c>
      <c r="G18">
        <v>12</v>
      </c>
      <c r="H18" s="2">
        <v>49606</v>
      </c>
      <c r="I18" s="2">
        <v>2004</v>
      </c>
      <c r="J18" s="2">
        <v>24048</v>
      </c>
    </row>
    <row r="19" spans="1:10">
      <c r="A19">
        <v>5018</v>
      </c>
      <c r="B19" t="s">
        <v>27</v>
      </c>
      <c r="C19" t="s">
        <v>25</v>
      </c>
      <c r="D19" t="s">
        <v>9</v>
      </c>
      <c r="E19" s="1">
        <v>45344</v>
      </c>
      <c r="F19" t="s">
        <v>29</v>
      </c>
      <c r="G19">
        <v>7</v>
      </c>
      <c r="H19" s="2">
        <v>29420</v>
      </c>
      <c r="I19" s="2">
        <v>1235</v>
      </c>
      <c r="J19" s="2">
        <v>14820</v>
      </c>
    </row>
    <row r="20" spans="1:10">
      <c r="A20">
        <v>5019</v>
      </c>
      <c r="B20" t="s">
        <v>24</v>
      </c>
      <c r="C20" t="s">
        <v>28</v>
      </c>
      <c r="D20" t="s">
        <v>7</v>
      </c>
      <c r="E20" s="1">
        <v>45347</v>
      </c>
      <c r="F20" t="s">
        <v>29</v>
      </c>
      <c r="G20">
        <v>27</v>
      </c>
      <c r="H20" s="2">
        <v>101783</v>
      </c>
      <c r="I20" s="2">
        <v>4290</v>
      </c>
      <c r="J20" s="2">
        <v>51480</v>
      </c>
    </row>
    <row r="21" spans="1:10">
      <c r="A21">
        <v>5020</v>
      </c>
      <c r="B21" t="s">
        <v>44</v>
      </c>
      <c r="C21" t="s">
        <v>22</v>
      </c>
      <c r="D21" t="s">
        <v>7</v>
      </c>
      <c r="E21" s="1">
        <v>45350</v>
      </c>
      <c r="F21" t="s">
        <v>23</v>
      </c>
      <c r="G21">
        <v>67</v>
      </c>
      <c r="H21" s="2">
        <v>255293</v>
      </c>
      <c r="I21" s="2">
        <v>10647</v>
      </c>
      <c r="J21" s="2">
        <v>127764</v>
      </c>
    </row>
    <row r="22" spans="1:10">
      <c r="A22">
        <v>5021</v>
      </c>
      <c r="B22" t="s">
        <v>36</v>
      </c>
      <c r="C22" t="s">
        <v>41</v>
      </c>
      <c r="D22" t="s">
        <v>7</v>
      </c>
      <c r="E22" s="1">
        <v>45353</v>
      </c>
      <c r="F22" t="s">
        <v>23</v>
      </c>
      <c r="G22">
        <v>69</v>
      </c>
      <c r="H22" s="2">
        <v>263619</v>
      </c>
      <c r="I22" s="2">
        <v>11129</v>
      </c>
      <c r="J22" s="2">
        <v>133548</v>
      </c>
    </row>
    <row r="23" spans="1:10">
      <c r="A23">
        <v>5022</v>
      </c>
      <c r="B23" t="s">
        <v>24</v>
      </c>
      <c r="C23" t="s">
        <v>25</v>
      </c>
      <c r="D23" t="s">
        <v>7</v>
      </c>
      <c r="E23" s="1">
        <v>45356</v>
      </c>
      <c r="F23" t="s">
        <v>29</v>
      </c>
      <c r="G23">
        <v>27</v>
      </c>
      <c r="H23" s="2">
        <v>102368</v>
      </c>
      <c r="I23" s="2">
        <v>4222</v>
      </c>
      <c r="J23" s="2">
        <v>50664</v>
      </c>
    </row>
    <row r="24" spans="1:10">
      <c r="A24">
        <v>5023</v>
      </c>
      <c r="B24" t="s">
        <v>40</v>
      </c>
      <c r="C24" t="s">
        <v>25</v>
      </c>
      <c r="D24" t="s">
        <v>9</v>
      </c>
      <c r="E24" s="1">
        <v>45359</v>
      </c>
      <c r="F24" t="s">
        <v>29</v>
      </c>
      <c r="G24">
        <v>4</v>
      </c>
      <c r="H24" s="2">
        <v>17642</v>
      </c>
      <c r="I24" s="2">
        <v>673</v>
      </c>
      <c r="J24" s="2">
        <v>8076</v>
      </c>
    </row>
    <row r="25" spans="1:10">
      <c r="A25">
        <v>5024</v>
      </c>
      <c r="B25" t="s">
        <v>45</v>
      </c>
      <c r="C25" t="s">
        <v>22</v>
      </c>
      <c r="D25" t="s">
        <v>7</v>
      </c>
      <c r="E25" s="1">
        <v>45362</v>
      </c>
      <c r="F25" t="s">
        <v>29</v>
      </c>
      <c r="G25">
        <v>55</v>
      </c>
      <c r="H25" s="2">
        <v>210763</v>
      </c>
      <c r="I25" s="2">
        <v>8812</v>
      </c>
      <c r="J25" s="2">
        <v>105744</v>
      </c>
    </row>
    <row r="26" spans="1:10">
      <c r="A26">
        <v>5025</v>
      </c>
      <c r="B26" t="s">
        <v>46</v>
      </c>
      <c r="C26" t="s">
        <v>25</v>
      </c>
      <c r="D26" t="s">
        <v>7</v>
      </c>
      <c r="E26" s="1">
        <v>45365</v>
      </c>
      <c r="F26" t="s">
        <v>29</v>
      </c>
      <c r="G26">
        <v>16</v>
      </c>
      <c r="H26" s="2">
        <v>62258</v>
      </c>
      <c r="I26" s="2">
        <v>2572</v>
      </c>
      <c r="J26" s="2">
        <v>30864</v>
      </c>
    </row>
    <row r="27" spans="1:10">
      <c r="A27">
        <v>5026</v>
      </c>
      <c r="B27" t="s">
        <v>26</v>
      </c>
      <c r="C27" t="s">
        <v>25</v>
      </c>
      <c r="D27" t="s">
        <v>10</v>
      </c>
      <c r="E27" s="1">
        <v>45368</v>
      </c>
      <c r="F27" t="s">
        <v>29</v>
      </c>
      <c r="G27">
        <v>21</v>
      </c>
      <c r="H27" s="2">
        <v>78285</v>
      </c>
      <c r="I27" s="2">
        <v>3397</v>
      </c>
      <c r="J27" s="2">
        <v>40764</v>
      </c>
    </row>
    <row r="28" spans="1:10">
      <c r="A28">
        <v>5027</v>
      </c>
      <c r="B28" t="s">
        <v>26</v>
      </c>
      <c r="C28" t="s">
        <v>22</v>
      </c>
      <c r="D28" t="s">
        <v>10</v>
      </c>
      <c r="E28" s="1">
        <v>45371</v>
      </c>
      <c r="F28" t="s">
        <v>29</v>
      </c>
      <c r="G28">
        <v>72</v>
      </c>
      <c r="H28" s="2">
        <v>257907</v>
      </c>
      <c r="I28" s="2">
        <v>11177</v>
      </c>
      <c r="J28" s="2">
        <v>134124</v>
      </c>
    </row>
    <row r="29" spans="1:10">
      <c r="A29">
        <v>5028</v>
      </c>
      <c r="B29" t="s">
        <v>45</v>
      </c>
      <c r="C29" t="s">
        <v>47</v>
      </c>
      <c r="D29" t="s">
        <v>7</v>
      </c>
      <c r="E29" s="1">
        <v>45374</v>
      </c>
      <c r="F29" t="s">
        <v>23</v>
      </c>
      <c r="G29">
        <v>73</v>
      </c>
      <c r="H29" s="2">
        <v>275800</v>
      </c>
      <c r="I29" s="2">
        <v>11617</v>
      </c>
      <c r="J29" s="2">
        <v>139404</v>
      </c>
    </row>
    <row r="30" spans="1:10">
      <c r="A30">
        <v>5029</v>
      </c>
      <c r="B30" t="s">
        <v>35</v>
      </c>
      <c r="C30" t="s">
        <v>22</v>
      </c>
      <c r="D30" t="s">
        <v>9</v>
      </c>
      <c r="E30" s="1">
        <v>45377</v>
      </c>
      <c r="F30" t="s">
        <v>29</v>
      </c>
      <c r="G30">
        <v>4</v>
      </c>
      <c r="H30" s="2">
        <v>17024</v>
      </c>
      <c r="I30" s="2">
        <v>688</v>
      </c>
      <c r="J30" s="2">
        <v>8256</v>
      </c>
    </row>
    <row r="31" spans="1:10">
      <c r="A31">
        <v>5030</v>
      </c>
      <c r="B31" t="s">
        <v>24</v>
      </c>
      <c r="C31" t="s">
        <v>25</v>
      </c>
      <c r="D31" t="s">
        <v>7</v>
      </c>
      <c r="E31" s="1">
        <v>45380</v>
      </c>
      <c r="F31" t="s">
        <v>29</v>
      </c>
      <c r="G31">
        <v>33</v>
      </c>
      <c r="H31" s="2">
        <v>124769</v>
      </c>
      <c r="I31" s="2">
        <v>5374</v>
      </c>
      <c r="J31" s="2">
        <v>64488</v>
      </c>
    </row>
    <row r="32" spans="1:10">
      <c r="A32">
        <v>5031</v>
      </c>
      <c r="B32" t="s">
        <v>44</v>
      </c>
      <c r="C32" t="s">
        <v>41</v>
      </c>
      <c r="D32" t="s">
        <v>7</v>
      </c>
      <c r="E32" s="1">
        <v>45384</v>
      </c>
      <c r="F32" t="s">
        <v>29</v>
      </c>
      <c r="G32">
        <v>47</v>
      </c>
      <c r="H32" s="2">
        <v>178559</v>
      </c>
      <c r="I32" s="2">
        <v>7547</v>
      </c>
      <c r="J32" s="2">
        <v>90564</v>
      </c>
    </row>
    <row r="33" spans="1:10">
      <c r="A33">
        <v>5032</v>
      </c>
      <c r="B33" t="s">
        <v>32</v>
      </c>
      <c r="C33" t="s">
        <v>39</v>
      </c>
      <c r="D33" t="s">
        <v>8</v>
      </c>
      <c r="E33" s="1">
        <v>45387</v>
      </c>
      <c r="F33" t="s">
        <v>23</v>
      </c>
      <c r="G33">
        <v>296</v>
      </c>
      <c r="H33" s="2">
        <v>1006934</v>
      </c>
      <c r="I33" s="2">
        <v>44397</v>
      </c>
      <c r="J33" s="2">
        <v>532764</v>
      </c>
    </row>
    <row r="34" spans="1:10">
      <c r="A34">
        <v>5033</v>
      </c>
      <c r="B34" t="s">
        <v>27</v>
      </c>
      <c r="C34" t="s">
        <v>22</v>
      </c>
      <c r="D34" t="s">
        <v>9</v>
      </c>
      <c r="E34" s="1">
        <v>45390</v>
      </c>
      <c r="F34" t="s">
        <v>23</v>
      </c>
      <c r="G34">
        <v>7</v>
      </c>
      <c r="H34" s="2">
        <v>29995</v>
      </c>
      <c r="I34" s="2">
        <v>1141</v>
      </c>
      <c r="J34" s="2">
        <v>13692</v>
      </c>
    </row>
    <row r="35" spans="1:10">
      <c r="A35">
        <v>5034</v>
      </c>
      <c r="B35" t="s">
        <v>48</v>
      </c>
      <c r="C35" t="s">
        <v>47</v>
      </c>
      <c r="D35" t="s">
        <v>10</v>
      </c>
      <c r="E35" s="1">
        <v>45393</v>
      </c>
      <c r="F35" t="s">
        <v>29</v>
      </c>
      <c r="G35">
        <v>28</v>
      </c>
      <c r="H35" s="2">
        <v>100970</v>
      </c>
      <c r="I35" s="2">
        <v>4286</v>
      </c>
      <c r="J35" s="2">
        <v>51432</v>
      </c>
    </row>
    <row r="36" spans="1:10">
      <c r="A36">
        <v>5035</v>
      </c>
      <c r="B36" t="s">
        <v>32</v>
      </c>
      <c r="C36" t="s">
        <v>43</v>
      </c>
      <c r="D36" t="s">
        <v>8</v>
      </c>
      <c r="E36" s="1">
        <v>45396</v>
      </c>
      <c r="F36" t="s">
        <v>23</v>
      </c>
      <c r="G36">
        <v>231</v>
      </c>
      <c r="H36" s="2">
        <v>782048</v>
      </c>
      <c r="I36" s="2">
        <v>34769</v>
      </c>
      <c r="J36" s="2">
        <v>417228</v>
      </c>
    </row>
    <row r="37" spans="1:10">
      <c r="A37">
        <v>5036</v>
      </c>
      <c r="B37" t="s">
        <v>42</v>
      </c>
      <c r="C37" t="s">
        <v>38</v>
      </c>
      <c r="D37" t="s">
        <v>9</v>
      </c>
      <c r="E37" s="1">
        <v>45399</v>
      </c>
      <c r="F37" t="s">
        <v>29</v>
      </c>
      <c r="G37">
        <v>12</v>
      </c>
      <c r="H37" s="2">
        <v>49498</v>
      </c>
      <c r="I37" s="2">
        <v>2014</v>
      </c>
      <c r="J37" s="2">
        <v>24168</v>
      </c>
    </row>
    <row r="38" spans="1:10">
      <c r="A38">
        <v>5037</v>
      </c>
      <c r="B38" t="s">
        <v>49</v>
      </c>
      <c r="C38" t="s">
        <v>25</v>
      </c>
      <c r="D38" t="s">
        <v>7</v>
      </c>
      <c r="E38" s="1">
        <v>45402</v>
      </c>
      <c r="F38" t="s">
        <v>29</v>
      </c>
      <c r="G38">
        <v>49</v>
      </c>
      <c r="H38" s="2">
        <v>187991</v>
      </c>
      <c r="I38" s="2">
        <v>7928</v>
      </c>
      <c r="J38" s="2">
        <v>95136</v>
      </c>
    </row>
    <row r="39" spans="1:10">
      <c r="A39">
        <v>5038</v>
      </c>
      <c r="B39" t="s">
        <v>40</v>
      </c>
      <c r="C39" t="s">
        <v>22</v>
      </c>
      <c r="D39" t="s">
        <v>9</v>
      </c>
      <c r="E39" s="1">
        <v>45405</v>
      </c>
      <c r="F39" t="s">
        <v>29</v>
      </c>
      <c r="G39">
        <v>7</v>
      </c>
      <c r="H39" s="2">
        <v>29927</v>
      </c>
      <c r="I39" s="2">
        <v>1147</v>
      </c>
      <c r="J39" s="2">
        <v>13764</v>
      </c>
    </row>
    <row r="40" spans="1:10">
      <c r="A40">
        <v>5039</v>
      </c>
      <c r="B40" t="s">
        <v>37</v>
      </c>
      <c r="C40" t="s">
        <v>38</v>
      </c>
      <c r="D40" t="s">
        <v>9</v>
      </c>
      <c r="E40" s="1">
        <v>45408</v>
      </c>
      <c r="F40" t="s">
        <v>29</v>
      </c>
      <c r="G40">
        <v>14</v>
      </c>
      <c r="H40" s="2">
        <v>59706</v>
      </c>
      <c r="I40" s="2">
        <v>2415</v>
      </c>
      <c r="J40" s="2">
        <v>28980</v>
      </c>
    </row>
    <row r="41" spans="1:10">
      <c r="A41">
        <v>5040</v>
      </c>
      <c r="B41" t="s">
        <v>30</v>
      </c>
      <c r="C41" t="s">
        <v>22</v>
      </c>
      <c r="D41" t="s">
        <v>7</v>
      </c>
      <c r="E41" s="1">
        <v>45411</v>
      </c>
      <c r="F41" t="s">
        <v>23</v>
      </c>
      <c r="G41">
        <v>68</v>
      </c>
      <c r="H41" s="2">
        <v>258199</v>
      </c>
      <c r="I41" s="2">
        <v>10806</v>
      </c>
      <c r="J41" s="2">
        <v>129672</v>
      </c>
    </row>
    <row r="42" spans="1:10">
      <c r="A42">
        <v>5041</v>
      </c>
      <c r="B42" t="s">
        <v>50</v>
      </c>
      <c r="C42" t="s">
        <v>31</v>
      </c>
      <c r="D42" t="s">
        <v>7</v>
      </c>
      <c r="E42" s="1">
        <v>45414</v>
      </c>
      <c r="F42" t="s">
        <v>29</v>
      </c>
      <c r="G42">
        <v>19</v>
      </c>
      <c r="H42" s="2">
        <v>73267</v>
      </c>
      <c r="I42" s="2">
        <v>3000</v>
      </c>
      <c r="J42" s="2">
        <v>36000</v>
      </c>
    </row>
    <row r="43" spans="1:10">
      <c r="A43">
        <v>5042</v>
      </c>
      <c r="B43" t="s">
        <v>27</v>
      </c>
      <c r="C43" t="s">
        <v>31</v>
      </c>
      <c r="D43" t="s">
        <v>9</v>
      </c>
      <c r="E43" s="1">
        <v>45417</v>
      </c>
      <c r="F43" t="s">
        <v>23</v>
      </c>
      <c r="G43">
        <v>8</v>
      </c>
      <c r="H43" s="2">
        <v>33117</v>
      </c>
      <c r="I43" s="2">
        <v>1408</v>
      </c>
      <c r="J43" s="2">
        <v>16896</v>
      </c>
    </row>
    <row r="44" spans="1:10">
      <c r="A44">
        <v>5043</v>
      </c>
      <c r="B44" t="s">
        <v>26</v>
      </c>
      <c r="C44" t="s">
        <v>43</v>
      </c>
      <c r="D44" t="s">
        <v>10</v>
      </c>
      <c r="E44" s="1">
        <v>45420</v>
      </c>
      <c r="F44" t="s">
        <v>29</v>
      </c>
      <c r="G44">
        <v>72</v>
      </c>
      <c r="H44" s="2">
        <v>256806</v>
      </c>
      <c r="I44" s="2">
        <v>11058</v>
      </c>
      <c r="J44" s="2">
        <v>132696</v>
      </c>
    </row>
    <row r="45" spans="1:10">
      <c r="A45">
        <v>5044</v>
      </c>
      <c r="B45" t="s">
        <v>46</v>
      </c>
      <c r="C45" t="s">
        <v>47</v>
      </c>
      <c r="D45" t="s">
        <v>7</v>
      </c>
      <c r="E45" s="1">
        <v>45423</v>
      </c>
      <c r="F45" t="s">
        <v>29</v>
      </c>
      <c r="G45">
        <v>47</v>
      </c>
      <c r="H45" s="2">
        <v>179927</v>
      </c>
      <c r="I45" s="2">
        <v>7486</v>
      </c>
      <c r="J45" s="2">
        <v>89832</v>
      </c>
    </row>
    <row r="46" spans="1:10">
      <c r="A46">
        <v>5045</v>
      </c>
      <c r="B46" t="s">
        <v>33</v>
      </c>
      <c r="C46" t="s">
        <v>25</v>
      </c>
      <c r="D46" t="s">
        <v>9</v>
      </c>
      <c r="E46" s="1">
        <v>45426</v>
      </c>
      <c r="F46" t="s">
        <v>23</v>
      </c>
      <c r="G46">
        <v>6</v>
      </c>
      <c r="H46" s="2">
        <v>26095</v>
      </c>
      <c r="I46" s="2">
        <v>1015</v>
      </c>
      <c r="J46" s="2">
        <v>12180</v>
      </c>
    </row>
    <row r="47" spans="1:10">
      <c r="A47">
        <v>5046</v>
      </c>
      <c r="B47" t="s">
        <v>33</v>
      </c>
      <c r="C47" t="s">
        <v>25</v>
      </c>
      <c r="D47" t="s">
        <v>9</v>
      </c>
      <c r="E47" s="1">
        <v>45430</v>
      </c>
      <c r="F47" t="s">
        <v>23</v>
      </c>
      <c r="G47">
        <v>14</v>
      </c>
      <c r="H47" s="2">
        <v>58289</v>
      </c>
      <c r="I47" s="2">
        <v>2331</v>
      </c>
      <c r="J47" s="2">
        <v>27972</v>
      </c>
    </row>
    <row r="48" spans="1:10">
      <c r="A48">
        <v>5047</v>
      </c>
      <c r="B48" t="s">
        <v>51</v>
      </c>
      <c r="C48" t="s">
        <v>22</v>
      </c>
      <c r="D48" t="s">
        <v>8</v>
      </c>
      <c r="E48" s="1">
        <v>45433</v>
      </c>
      <c r="F48" t="s">
        <v>29</v>
      </c>
      <c r="G48">
        <v>255</v>
      </c>
      <c r="H48" s="2">
        <v>869206</v>
      </c>
      <c r="I48" s="2">
        <v>38426</v>
      </c>
      <c r="J48" s="2">
        <v>461112</v>
      </c>
    </row>
    <row r="49" spans="1:10">
      <c r="A49">
        <v>5048</v>
      </c>
      <c r="B49" t="s">
        <v>40</v>
      </c>
      <c r="C49" t="s">
        <v>22</v>
      </c>
      <c r="D49" t="s">
        <v>9</v>
      </c>
      <c r="E49" s="1">
        <v>45436</v>
      </c>
      <c r="F49" t="s">
        <v>29</v>
      </c>
      <c r="G49">
        <v>13</v>
      </c>
      <c r="H49" s="2">
        <v>54502</v>
      </c>
      <c r="I49" s="2">
        <v>2216</v>
      </c>
      <c r="J49" s="2">
        <v>26592</v>
      </c>
    </row>
    <row r="50" spans="1:10">
      <c r="A50">
        <v>5049</v>
      </c>
      <c r="B50" t="s">
        <v>30</v>
      </c>
      <c r="C50" t="s">
        <v>28</v>
      </c>
      <c r="D50" t="s">
        <v>7</v>
      </c>
      <c r="E50" s="1">
        <v>45439</v>
      </c>
      <c r="F50" t="s">
        <v>29</v>
      </c>
      <c r="G50">
        <v>37</v>
      </c>
      <c r="H50" s="2">
        <v>139766</v>
      </c>
      <c r="I50" s="2">
        <v>5911</v>
      </c>
      <c r="J50" s="2">
        <v>70932</v>
      </c>
    </row>
    <row r="51" spans="1:10">
      <c r="A51">
        <v>5050</v>
      </c>
      <c r="B51" t="s">
        <v>35</v>
      </c>
      <c r="C51" t="s">
        <v>39</v>
      </c>
      <c r="D51" t="s">
        <v>9</v>
      </c>
      <c r="E51" s="1">
        <v>45442</v>
      </c>
      <c r="F51" t="s">
        <v>23</v>
      </c>
      <c r="G51">
        <v>12</v>
      </c>
      <c r="H51" s="2">
        <v>51121</v>
      </c>
      <c r="I51" s="2">
        <v>2052</v>
      </c>
      <c r="J51" s="2">
        <v>24624</v>
      </c>
    </row>
    <row r="52" spans="1:10">
      <c r="A52">
        <v>5051</v>
      </c>
      <c r="B52" t="s">
        <v>32</v>
      </c>
      <c r="C52" t="s">
        <v>47</v>
      </c>
      <c r="D52" t="s">
        <v>8</v>
      </c>
      <c r="E52" s="1">
        <v>45445</v>
      </c>
      <c r="F52" t="s">
        <v>23</v>
      </c>
      <c r="G52">
        <v>259</v>
      </c>
      <c r="H52" s="2">
        <v>880377</v>
      </c>
      <c r="I52" s="2">
        <v>38603</v>
      </c>
      <c r="J52" s="2">
        <v>463236</v>
      </c>
    </row>
    <row r="53" spans="1:10">
      <c r="A53">
        <v>5052</v>
      </c>
      <c r="B53" t="s">
        <v>52</v>
      </c>
      <c r="C53" t="s">
        <v>39</v>
      </c>
      <c r="D53" t="s">
        <v>7</v>
      </c>
      <c r="E53" s="1">
        <v>45448</v>
      </c>
      <c r="F53" t="s">
        <v>23</v>
      </c>
      <c r="G53">
        <v>53</v>
      </c>
      <c r="H53" s="2">
        <v>200619</v>
      </c>
      <c r="I53" s="2">
        <v>8385</v>
      </c>
      <c r="J53" s="2">
        <v>100620</v>
      </c>
    </row>
    <row r="54" spans="1:10">
      <c r="A54">
        <v>5053</v>
      </c>
      <c r="B54" t="s">
        <v>37</v>
      </c>
      <c r="C54" t="s">
        <v>25</v>
      </c>
      <c r="D54" t="s">
        <v>9</v>
      </c>
      <c r="E54" s="1">
        <v>45451</v>
      </c>
      <c r="F54" t="s">
        <v>29</v>
      </c>
      <c r="G54">
        <v>5</v>
      </c>
      <c r="H54" s="2">
        <v>20635</v>
      </c>
      <c r="I54" s="2">
        <v>829</v>
      </c>
      <c r="J54" s="2">
        <v>9948</v>
      </c>
    </row>
    <row r="55" spans="1:10">
      <c r="A55">
        <v>5054</v>
      </c>
      <c r="B55" t="s">
        <v>36</v>
      </c>
      <c r="C55" t="s">
        <v>25</v>
      </c>
      <c r="D55" t="s">
        <v>7</v>
      </c>
      <c r="E55" s="1">
        <v>45454</v>
      </c>
      <c r="F55" t="s">
        <v>29</v>
      </c>
      <c r="G55">
        <v>69</v>
      </c>
      <c r="H55" s="2">
        <v>261569</v>
      </c>
      <c r="I55" s="2">
        <v>11056</v>
      </c>
      <c r="J55" s="2">
        <v>132672</v>
      </c>
    </row>
    <row r="56" spans="1:10">
      <c r="A56">
        <v>5055</v>
      </c>
      <c r="B56" t="s">
        <v>27</v>
      </c>
      <c r="C56" t="s">
        <v>25</v>
      </c>
      <c r="D56" t="s">
        <v>9</v>
      </c>
      <c r="E56" s="1">
        <v>45457</v>
      </c>
      <c r="F56" t="s">
        <v>23</v>
      </c>
      <c r="G56">
        <v>13</v>
      </c>
      <c r="H56" s="2">
        <v>54233</v>
      </c>
      <c r="I56" s="2">
        <v>2160</v>
      </c>
      <c r="J56" s="2">
        <v>25920</v>
      </c>
    </row>
    <row r="57" spans="1:10">
      <c r="A57">
        <v>5056</v>
      </c>
      <c r="B57" t="s">
        <v>44</v>
      </c>
      <c r="C57" t="s">
        <v>31</v>
      </c>
      <c r="D57" t="s">
        <v>7</v>
      </c>
      <c r="E57" s="1">
        <v>45460</v>
      </c>
      <c r="F57" t="s">
        <v>29</v>
      </c>
      <c r="G57">
        <v>54</v>
      </c>
      <c r="H57" s="2">
        <v>206508</v>
      </c>
      <c r="I57" s="2">
        <v>8656</v>
      </c>
      <c r="J57" s="2">
        <v>103872</v>
      </c>
    </row>
    <row r="58" spans="1:10">
      <c r="A58">
        <v>5057</v>
      </c>
      <c r="B58" t="s">
        <v>40</v>
      </c>
      <c r="C58" t="s">
        <v>28</v>
      </c>
      <c r="D58" t="s">
        <v>9</v>
      </c>
      <c r="E58" s="1">
        <v>45463</v>
      </c>
      <c r="F58" t="s">
        <v>23</v>
      </c>
      <c r="G58">
        <v>9</v>
      </c>
      <c r="H58" s="2">
        <v>37660</v>
      </c>
      <c r="I58" s="2">
        <v>1546</v>
      </c>
      <c r="J58" s="2">
        <v>18552</v>
      </c>
    </row>
    <row r="59" spans="1:10">
      <c r="A59">
        <v>5058</v>
      </c>
      <c r="B59" t="s">
        <v>44</v>
      </c>
      <c r="C59" t="s">
        <v>22</v>
      </c>
      <c r="D59" t="s">
        <v>7</v>
      </c>
      <c r="E59" s="1">
        <v>45466</v>
      </c>
      <c r="F59" t="s">
        <v>23</v>
      </c>
      <c r="G59">
        <v>43</v>
      </c>
      <c r="H59" s="2">
        <v>162643</v>
      </c>
      <c r="I59" s="2">
        <v>6848</v>
      </c>
      <c r="J59" s="2">
        <v>82176</v>
      </c>
    </row>
    <row r="60" spans="1:10">
      <c r="A60">
        <v>5059</v>
      </c>
      <c r="B60" t="s">
        <v>52</v>
      </c>
      <c r="C60" t="s">
        <v>25</v>
      </c>
      <c r="D60" t="s">
        <v>7</v>
      </c>
      <c r="E60" s="1">
        <v>45469</v>
      </c>
      <c r="F60" t="s">
        <v>23</v>
      </c>
      <c r="G60">
        <v>26</v>
      </c>
      <c r="H60" s="2">
        <v>99759</v>
      </c>
      <c r="I60" s="2">
        <v>4235</v>
      </c>
      <c r="J60" s="2">
        <v>50820</v>
      </c>
    </row>
    <row r="61" spans="1:10">
      <c r="A61">
        <v>5060</v>
      </c>
      <c r="B61" t="s">
        <v>52</v>
      </c>
      <c r="C61" t="s">
        <v>41</v>
      </c>
      <c r="D61" t="s">
        <v>7</v>
      </c>
      <c r="E61" s="1">
        <v>45472</v>
      </c>
      <c r="F61" t="s">
        <v>29</v>
      </c>
      <c r="G61">
        <v>37</v>
      </c>
      <c r="H61" s="2">
        <v>140385</v>
      </c>
      <c r="I61" s="2">
        <v>5829</v>
      </c>
      <c r="J61" s="2">
        <v>69948</v>
      </c>
    </row>
    <row r="62" spans="1:10">
      <c r="A62">
        <v>5061</v>
      </c>
      <c r="B62" t="s">
        <v>53</v>
      </c>
      <c r="C62" t="s">
        <v>34</v>
      </c>
      <c r="D62" t="s">
        <v>8</v>
      </c>
      <c r="E62" s="1">
        <v>45476</v>
      </c>
      <c r="F62" t="s">
        <v>29</v>
      </c>
      <c r="G62">
        <v>226</v>
      </c>
      <c r="H62" s="2">
        <v>765889</v>
      </c>
      <c r="I62" s="2">
        <v>33924</v>
      </c>
      <c r="J62" s="2">
        <v>407088</v>
      </c>
    </row>
    <row r="63" spans="1:10">
      <c r="A63">
        <v>5062</v>
      </c>
      <c r="B63" t="s">
        <v>33</v>
      </c>
      <c r="C63" t="s">
        <v>28</v>
      </c>
      <c r="D63" t="s">
        <v>9</v>
      </c>
      <c r="E63" s="1">
        <v>45479</v>
      </c>
      <c r="F63" t="s">
        <v>23</v>
      </c>
      <c r="G63">
        <v>4</v>
      </c>
      <c r="H63" s="2">
        <v>16695</v>
      </c>
      <c r="I63" s="2">
        <v>661</v>
      </c>
      <c r="J63" s="2">
        <v>7932</v>
      </c>
    </row>
    <row r="64" spans="1:10">
      <c r="A64">
        <v>5063</v>
      </c>
      <c r="B64" t="s">
        <v>37</v>
      </c>
      <c r="C64" t="s">
        <v>34</v>
      </c>
      <c r="D64" t="s">
        <v>9</v>
      </c>
      <c r="E64" s="1">
        <v>45482</v>
      </c>
      <c r="F64" t="s">
        <v>29</v>
      </c>
      <c r="G64">
        <v>4</v>
      </c>
      <c r="H64" s="2">
        <v>17752</v>
      </c>
      <c r="I64" s="2">
        <v>690</v>
      </c>
      <c r="J64" s="2">
        <v>8280</v>
      </c>
    </row>
    <row r="65" spans="1:10">
      <c r="A65">
        <v>5064</v>
      </c>
      <c r="B65" t="s">
        <v>21</v>
      </c>
      <c r="C65" t="s">
        <v>39</v>
      </c>
      <c r="D65" t="s">
        <v>10</v>
      </c>
      <c r="E65" s="1">
        <v>45485</v>
      </c>
      <c r="F65" t="s">
        <v>29</v>
      </c>
      <c r="G65">
        <v>59</v>
      </c>
      <c r="H65" s="2">
        <v>213313</v>
      </c>
      <c r="I65" s="2">
        <v>8987</v>
      </c>
      <c r="J65" s="2">
        <v>107844</v>
      </c>
    </row>
    <row r="66" spans="1:10">
      <c r="A66">
        <v>5065</v>
      </c>
      <c r="B66" t="s">
        <v>54</v>
      </c>
      <c r="C66" t="s">
        <v>25</v>
      </c>
      <c r="D66" t="s">
        <v>7</v>
      </c>
      <c r="E66" s="1">
        <v>45488</v>
      </c>
      <c r="F66" t="s">
        <v>29</v>
      </c>
      <c r="G66">
        <v>65</v>
      </c>
      <c r="H66" s="2">
        <v>245753</v>
      </c>
      <c r="I66" s="2">
        <v>10334</v>
      </c>
      <c r="J66" s="2">
        <v>124008</v>
      </c>
    </row>
    <row r="67" spans="1:10">
      <c r="A67">
        <v>5066</v>
      </c>
      <c r="B67" t="s">
        <v>33</v>
      </c>
      <c r="C67" t="s">
        <v>22</v>
      </c>
      <c r="D67" t="s">
        <v>9</v>
      </c>
      <c r="E67" s="1">
        <v>45491</v>
      </c>
      <c r="F67" t="s">
        <v>29</v>
      </c>
      <c r="G67">
        <v>13</v>
      </c>
      <c r="H67" s="2">
        <v>54621</v>
      </c>
      <c r="I67" s="2">
        <v>2193</v>
      </c>
      <c r="J67" s="2">
        <v>26316</v>
      </c>
    </row>
    <row r="68" spans="1:10">
      <c r="A68">
        <v>5067</v>
      </c>
      <c r="B68" t="s">
        <v>33</v>
      </c>
      <c r="C68" t="s">
        <v>22</v>
      </c>
      <c r="D68" t="s">
        <v>9</v>
      </c>
      <c r="E68" s="1">
        <v>45494</v>
      </c>
      <c r="F68" t="s">
        <v>23</v>
      </c>
      <c r="G68">
        <v>14</v>
      </c>
      <c r="H68" s="2">
        <v>58212</v>
      </c>
      <c r="I68" s="2">
        <v>2365</v>
      </c>
      <c r="J68" s="2">
        <v>28380</v>
      </c>
    </row>
    <row r="69" spans="1:10">
      <c r="A69">
        <v>5068</v>
      </c>
      <c r="B69" t="s">
        <v>21</v>
      </c>
      <c r="C69" t="s">
        <v>31</v>
      </c>
      <c r="D69" t="s">
        <v>10</v>
      </c>
      <c r="E69" s="1">
        <v>45497</v>
      </c>
      <c r="F69" t="s">
        <v>29</v>
      </c>
      <c r="G69">
        <v>92</v>
      </c>
      <c r="H69" s="2">
        <v>331167</v>
      </c>
      <c r="I69" s="2">
        <v>14251</v>
      </c>
      <c r="J69" s="2">
        <v>171012</v>
      </c>
    </row>
    <row r="70" spans="1:10">
      <c r="A70">
        <v>5069</v>
      </c>
      <c r="B70" t="s">
        <v>27</v>
      </c>
      <c r="C70" t="s">
        <v>39</v>
      </c>
      <c r="D70" t="s">
        <v>9</v>
      </c>
      <c r="E70" s="1">
        <v>45500</v>
      </c>
      <c r="F70" t="s">
        <v>29</v>
      </c>
      <c r="G70">
        <v>10</v>
      </c>
      <c r="H70" s="2">
        <v>41095</v>
      </c>
      <c r="I70" s="2">
        <v>1673</v>
      </c>
      <c r="J70" s="2">
        <v>20076</v>
      </c>
    </row>
    <row r="71" spans="1:10">
      <c r="A71">
        <v>5070</v>
      </c>
      <c r="B71" t="s">
        <v>40</v>
      </c>
      <c r="C71" t="s">
        <v>38</v>
      </c>
      <c r="D71" t="s">
        <v>9</v>
      </c>
      <c r="E71" s="1">
        <v>45503</v>
      </c>
      <c r="F71" t="s">
        <v>29</v>
      </c>
      <c r="G71">
        <v>10</v>
      </c>
      <c r="H71" s="2">
        <v>41216</v>
      </c>
      <c r="I71" s="2">
        <v>1748</v>
      </c>
      <c r="J71" s="2">
        <v>20976</v>
      </c>
    </row>
    <row r="72" spans="1:10">
      <c r="A72">
        <v>5071</v>
      </c>
      <c r="B72" t="s">
        <v>48</v>
      </c>
      <c r="C72" t="s">
        <v>25</v>
      </c>
      <c r="D72" t="s">
        <v>10</v>
      </c>
      <c r="E72" s="1">
        <v>45506</v>
      </c>
      <c r="F72" t="s">
        <v>29</v>
      </c>
      <c r="G72">
        <v>32</v>
      </c>
      <c r="H72" s="2">
        <v>112898</v>
      </c>
      <c r="I72" s="2">
        <v>4778</v>
      </c>
      <c r="J72" s="2">
        <v>57336</v>
      </c>
    </row>
    <row r="73" spans="1:10">
      <c r="A73">
        <v>5072</v>
      </c>
      <c r="B73" t="s">
        <v>44</v>
      </c>
      <c r="C73" t="s">
        <v>31</v>
      </c>
      <c r="D73" t="s">
        <v>7</v>
      </c>
      <c r="E73" s="1">
        <v>45509</v>
      </c>
      <c r="F73" t="s">
        <v>23</v>
      </c>
      <c r="G73">
        <v>21</v>
      </c>
      <c r="H73" s="2">
        <v>79619</v>
      </c>
      <c r="I73" s="2">
        <v>3387</v>
      </c>
      <c r="J73" s="2">
        <v>40644</v>
      </c>
    </row>
    <row r="74" spans="1:10">
      <c r="A74">
        <v>5073</v>
      </c>
      <c r="B74" t="s">
        <v>40</v>
      </c>
      <c r="C74" t="s">
        <v>31</v>
      </c>
      <c r="D74" t="s">
        <v>9</v>
      </c>
      <c r="E74" s="1">
        <v>45512</v>
      </c>
      <c r="F74" t="s">
        <v>29</v>
      </c>
      <c r="G74">
        <v>6</v>
      </c>
      <c r="H74" s="2">
        <v>24595</v>
      </c>
      <c r="I74" s="2">
        <v>994</v>
      </c>
      <c r="J74" s="2">
        <v>11928</v>
      </c>
    </row>
    <row r="75" spans="1:10">
      <c r="A75">
        <v>5074</v>
      </c>
      <c r="B75" t="s">
        <v>44</v>
      </c>
      <c r="C75" t="s">
        <v>39</v>
      </c>
      <c r="D75" t="s">
        <v>7</v>
      </c>
      <c r="E75" s="1">
        <v>45515</v>
      </c>
      <c r="F75" t="s">
        <v>23</v>
      </c>
      <c r="G75">
        <v>53</v>
      </c>
      <c r="H75" s="2">
        <v>201556</v>
      </c>
      <c r="I75" s="2">
        <v>8560</v>
      </c>
      <c r="J75" s="2">
        <v>102720</v>
      </c>
    </row>
    <row r="76" spans="1:10">
      <c r="A76">
        <v>5075</v>
      </c>
      <c r="B76" t="s">
        <v>52</v>
      </c>
      <c r="C76" t="s">
        <v>31</v>
      </c>
      <c r="D76" t="s">
        <v>7</v>
      </c>
      <c r="E76" s="1">
        <v>45518</v>
      </c>
      <c r="F76" t="s">
        <v>29</v>
      </c>
      <c r="G76">
        <v>49</v>
      </c>
      <c r="H76" s="2">
        <v>185438</v>
      </c>
      <c r="I76" s="2">
        <v>7814</v>
      </c>
      <c r="J76" s="2">
        <v>93768</v>
      </c>
    </row>
    <row r="77" spans="1:10">
      <c r="A77">
        <v>5076</v>
      </c>
      <c r="B77" t="s">
        <v>50</v>
      </c>
      <c r="C77" t="s">
        <v>25</v>
      </c>
      <c r="D77" t="s">
        <v>7</v>
      </c>
      <c r="E77" s="1">
        <v>45522</v>
      </c>
      <c r="F77" t="s">
        <v>23</v>
      </c>
      <c r="G77">
        <v>52</v>
      </c>
      <c r="H77" s="2">
        <v>197142</v>
      </c>
      <c r="I77" s="2">
        <v>8393</v>
      </c>
      <c r="J77" s="2">
        <v>100716</v>
      </c>
    </row>
    <row r="78" spans="1:10">
      <c r="A78">
        <v>5077</v>
      </c>
      <c r="B78" t="s">
        <v>36</v>
      </c>
      <c r="C78" t="s">
        <v>43</v>
      </c>
      <c r="D78" t="s">
        <v>7</v>
      </c>
      <c r="E78" s="1">
        <v>45525</v>
      </c>
      <c r="F78" t="s">
        <v>23</v>
      </c>
      <c r="G78">
        <v>16</v>
      </c>
      <c r="H78" s="2">
        <v>60340</v>
      </c>
      <c r="I78" s="2">
        <v>2488</v>
      </c>
      <c r="J78" s="2">
        <v>29856</v>
      </c>
    </row>
    <row r="79" spans="1:10">
      <c r="A79">
        <v>5078</v>
      </c>
      <c r="B79" t="s">
        <v>21</v>
      </c>
      <c r="C79" t="s">
        <v>25</v>
      </c>
      <c r="D79" t="s">
        <v>10</v>
      </c>
      <c r="E79" s="1">
        <v>45528</v>
      </c>
      <c r="F79" t="s">
        <v>29</v>
      </c>
      <c r="G79">
        <v>36</v>
      </c>
      <c r="H79" s="2">
        <v>127110</v>
      </c>
      <c r="I79" s="2">
        <v>5706</v>
      </c>
      <c r="J79" s="2">
        <v>68472</v>
      </c>
    </row>
    <row r="80" spans="1:10">
      <c r="A80">
        <v>5079</v>
      </c>
      <c r="B80" t="s">
        <v>55</v>
      </c>
      <c r="C80" t="s">
        <v>47</v>
      </c>
      <c r="D80" t="s">
        <v>8</v>
      </c>
      <c r="E80" s="1">
        <v>45531</v>
      </c>
      <c r="F80" t="s">
        <v>29</v>
      </c>
      <c r="G80">
        <v>268</v>
      </c>
      <c r="H80" s="2">
        <v>909123</v>
      </c>
      <c r="I80" s="2">
        <v>40081</v>
      </c>
      <c r="J80" s="2">
        <v>480972</v>
      </c>
    </row>
    <row r="81" spans="1:10">
      <c r="A81">
        <v>5080</v>
      </c>
      <c r="B81" t="s">
        <v>30</v>
      </c>
      <c r="C81" t="s">
        <v>43</v>
      </c>
      <c r="D81" t="s">
        <v>7</v>
      </c>
      <c r="E81" s="1">
        <v>45534</v>
      </c>
      <c r="F81" t="s">
        <v>29</v>
      </c>
      <c r="G81">
        <v>59</v>
      </c>
      <c r="H81" s="2">
        <v>222852</v>
      </c>
      <c r="I81" s="2">
        <v>9465</v>
      </c>
      <c r="J81" s="2">
        <v>113580</v>
      </c>
    </row>
    <row r="82" spans="1:10">
      <c r="A82">
        <v>5081</v>
      </c>
      <c r="B82" t="s">
        <v>44</v>
      </c>
      <c r="C82" t="s">
        <v>25</v>
      </c>
      <c r="D82" t="s">
        <v>7</v>
      </c>
      <c r="E82" s="1">
        <v>45537</v>
      </c>
      <c r="F82" t="s">
        <v>29</v>
      </c>
      <c r="G82">
        <v>53</v>
      </c>
      <c r="H82" s="2">
        <v>202472</v>
      </c>
      <c r="I82" s="2">
        <v>8510</v>
      </c>
      <c r="J82" s="2">
        <v>102120</v>
      </c>
    </row>
    <row r="83" spans="1:10">
      <c r="A83">
        <v>5082</v>
      </c>
      <c r="B83" t="s">
        <v>21</v>
      </c>
      <c r="C83" t="s">
        <v>39</v>
      </c>
      <c r="D83" t="s">
        <v>10</v>
      </c>
      <c r="E83" s="1">
        <v>45540</v>
      </c>
      <c r="F83" t="s">
        <v>29</v>
      </c>
      <c r="G83">
        <v>44</v>
      </c>
      <c r="H83" s="2">
        <v>156223</v>
      </c>
      <c r="I83" s="2">
        <v>6736</v>
      </c>
      <c r="J83" s="2">
        <v>80832</v>
      </c>
    </row>
    <row r="84" spans="1:10">
      <c r="A84">
        <v>5083</v>
      </c>
      <c r="B84" t="s">
        <v>52</v>
      </c>
      <c r="C84" t="s">
        <v>47</v>
      </c>
      <c r="D84" t="s">
        <v>7</v>
      </c>
      <c r="E84" s="1">
        <v>45543</v>
      </c>
      <c r="F84" t="s">
        <v>23</v>
      </c>
      <c r="G84">
        <v>30</v>
      </c>
      <c r="H84" s="2">
        <v>114933</v>
      </c>
      <c r="I84" s="2">
        <v>4863</v>
      </c>
      <c r="J84" s="2">
        <v>58356</v>
      </c>
    </row>
    <row r="85" spans="1:10">
      <c r="A85">
        <v>5084</v>
      </c>
      <c r="B85" t="s">
        <v>21</v>
      </c>
      <c r="C85" t="s">
        <v>39</v>
      </c>
      <c r="D85" t="s">
        <v>10</v>
      </c>
      <c r="E85" s="1">
        <v>45546</v>
      </c>
      <c r="F85" t="s">
        <v>29</v>
      </c>
      <c r="G85">
        <v>68</v>
      </c>
      <c r="H85" s="2">
        <v>247445</v>
      </c>
      <c r="I85" s="2">
        <v>10482</v>
      </c>
      <c r="J85" s="2">
        <v>125784</v>
      </c>
    </row>
    <row r="86" spans="1:10">
      <c r="A86">
        <v>5085</v>
      </c>
      <c r="B86" t="s">
        <v>27</v>
      </c>
      <c r="C86" t="s">
        <v>31</v>
      </c>
      <c r="D86" t="s">
        <v>9</v>
      </c>
      <c r="E86" s="1">
        <v>45549</v>
      </c>
      <c r="F86" t="s">
        <v>29</v>
      </c>
      <c r="G86">
        <v>14</v>
      </c>
      <c r="H86" s="2">
        <v>58835</v>
      </c>
      <c r="I86" s="2">
        <v>2403</v>
      </c>
      <c r="J86" s="2">
        <v>28836</v>
      </c>
    </row>
    <row r="87" spans="1:10">
      <c r="A87">
        <v>5086</v>
      </c>
      <c r="B87" t="s">
        <v>56</v>
      </c>
      <c r="C87" t="s">
        <v>47</v>
      </c>
      <c r="D87" t="s">
        <v>8</v>
      </c>
      <c r="E87" s="1">
        <v>45552</v>
      </c>
      <c r="F87" t="s">
        <v>29</v>
      </c>
      <c r="G87">
        <v>196</v>
      </c>
      <c r="H87" s="2">
        <v>670737</v>
      </c>
      <c r="I87" s="2">
        <v>29447</v>
      </c>
      <c r="J87" s="2">
        <v>353364</v>
      </c>
    </row>
    <row r="88" spans="1:10">
      <c r="A88">
        <v>5087</v>
      </c>
      <c r="B88" t="s">
        <v>52</v>
      </c>
      <c r="C88" t="s">
        <v>28</v>
      </c>
      <c r="D88" t="s">
        <v>7</v>
      </c>
      <c r="E88" s="1">
        <v>45555</v>
      </c>
      <c r="F88" t="s">
        <v>29</v>
      </c>
      <c r="G88">
        <v>55</v>
      </c>
      <c r="H88" s="2">
        <v>207739</v>
      </c>
      <c r="I88" s="2">
        <v>8891</v>
      </c>
      <c r="J88" s="2">
        <v>106692</v>
      </c>
    </row>
    <row r="89" spans="1:10">
      <c r="A89">
        <v>5088</v>
      </c>
      <c r="B89" t="s">
        <v>52</v>
      </c>
      <c r="C89" t="s">
        <v>31</v>
      </c>
      <c r="D89" t="s">
        <v>7</v>
      </c>
      <c r="E89" s="1">
        <v>45558</v>
      </c>
      <c r="F89" t="s">
        <v>29</v>
      </c>
      <c r="G89">
        <v>34</v>
      </c>
      <c r="H89" s="2">
        <v>129708</v>
      </c>
      <c r="I89" s="2">
        <v>5496</v>
      </c>
      <c r="J89" s="2">
        <v>65952</v>
      </c>
    </row>
    <row r="90" spans="1:10">
      <c r="A90">
        <v>5089</v>
      </c>
      <c r="B90" t="s">
        <v>30</v>
      </c>
      <c r="C90" t="s">
        <v>25</v>
      </c>
      <c r="D90" t="s">
        <v>7</v>
      </c>
      <c r="E90" s="1">
        <v>45561</v>
      </c>
      <c r="F90" t="s">
        <v>23</v>
      </c>
      <c r="G90">
        <v>19</v>
      </c>
      <c r="H90" s="2">
        <v>72038</v>
      </c>
      <c r="I90" s="2">
        <v>3092</v>
      </c>
      <c r="J90" s="2">
        <v>37104</v>
      </c>
    </row>
    <row r="91" spans="1:10">
      <c r="A91">
        <v>5090</v>
      </c>
      <c r="B91" t="s">
        <v>21</v>
      </c>
      <c r="C91" t="s">
        <v>31</v>
      </c>
      <c r="D91" t="s">
        <v>10</v>
      </c>
      <c r="E91" s="1">
        <v>45564</v>
      </c>
      <c r="F91" t="s">
        <v>23</v>
      </c>
      <c r="G91">
        <v>24</v>
      </c>
      <c r="H91" s="2">
        <v>84415</v>
      </c>
      <c r="I91" s="2">
        <v>3808</v>
      </c>
      <c r="J91" s="2">
        <v>45696</v>
      </c>
    </row>
    <row r="92" spans="1:10">
      <c r="A92">
        <v>5091</v>
      </c>
      <c r="B92" t="s">
        <v>35</v>
      </c>
      <c r="C92" t="s">
        <v>43</v>
      </c>
      <c r="D92" t="s">
        <v>9</v>
      </c>
      <c r="E92" s="1">
        <v>45568</v>
      </c>
      <c r="F92" t="s">
        <v>23</v>
      </c>
      <c r="G92">
        <v>8</v>
      </c>
      <c r="H92" s="2">
        <v>33905</v>
      </c>
      <c r="I92" s="2">
        <v>1372</v>
      </c>
      <c r="J92" s="2">
        <v>16464</v>
      </c>
    </row>
    <row r="93" spans="1:10">
      <c r="A93">
        <v>5092</v>
      </c>
      <c r="B93" t="s">
        <v>32</v>
      </c>
      <c r="C93" t="s">
        <v>31</v>
      </c>
      <c r="D93" t="s">
        <v>8</v>
      </c>
      <c r="E93" s="1">
        <v>45571</v>
      </c>
      <c r="F93" t="s">
        <v>29</v>
      </c>
      <c r="G93">
        <v>177</v>
      </c>
      <c r="H93" s="2">
        <v>604066</v>
      </c>
      <c r="I93" s="2">
        <v>26760</v>
      </c>
      <c r="J93" s="2">
        <v>321120</v>
      </c>
    </row>
    <row r="94" spans="1:10">
      <c r="A94">
        <v>5093</v>
      </c>
      <c r="B94" t="s">
        <v>50</v>
      </c>
      <c r="C94" t="s">
        <v>22</v>
      </c>
      <c r="D94" t="s">
        <v>7</v>
      </c>
      <c r="E94" s="1">
        <v>45574</v>
      </c>
      <c r="F94" t="s">
        <v>23</v>
      </c>
      <c r="G94">
        <v>19</v>
      </c>
      <c r="H94" s="2">
        <v>74134</v>
      </c>
      <c r="I94" s="2">
        <v>3072</v>
      </c>
      <c r="J94" s="2">
        <v>36864</v>
      </c>
    </row>
    <row r="95" spans="1:10">
      <c r="A95">
        <v>5094</v>
      </c>
      <c r="B95" t="s">
        <v>40</v>
      </c>
      <c r="C95" t="s">
        <v>47</v>
      </c>
      <c r="D95" t="s">
        <v>9</v>
      </c>
      <c r="E95" s="1">
        <v>45577</v>
      </c>
      <c r="F95" t="s">
        <v>23</v>
      </c>
      <c r="G95">
        <v>13</v>
      </c>
      <c r="H95" s="2">
        <v>55081</v>
      </c>
      <c r="I95" s="2">
        <v>2242</v>
      </c>
      <c r="J95" s="2">
        <v>26904</v>
      </c>
    </row>
    <row r="96" spans="1:10">
      <c r="A96">
        <v>5095</v>
      </c>
      <c r="B96" t="s">
        <v>35</v>
      </c>
      <c r="C96" t="s">
        <v>22</v>
      </c>
      <c r="D96" t="s">
        <v>9</v>
      </c>
      <c r="E96" s="1">
        <v>45580</v>
      </c>
      <c r="F96" t="s">
        <v>29</v>
      </c>
      <c r="G96">
        <v>7</v>
      </c>
      <c r="H96" s="2">
        <v>29869</v>
      </c>
      <c r="I96" s="2">
        <v>1204</v>
      </c>
      <c r="J96" s="2">
        <v>14448</v>
      </c>
    </row>
    <row r="97" spans="1:10">
      <c r="A97">
        <v>5096</v>
      </c>
      <c r="B97" t="s">
        <v>33</v>
      </c>
      <c r="C97" t="s">
        <v>28</v>
      </c>
      <c r="D97" t="s">
        <v>9</v>
      </c>
      <c r="E97" s="1">
        <v>45583</v>
      </c>
      <c r="F97" t="s">
        <v>29</v>
      </c>
      <c r="G97">
        <v>13</v>
      </c>
      <c r="H97" s="2">
        <v>54273</v>
      </c>
      <c r="I97" s="2">
        <v>2213</v>
      </c>
      <c r="J97" s="2">
        <v>26556</v>
      </c>
    </row>
    <row r="98" spans="1:10">
      <c r="A98">
        <v>5097</v>
      </c>
      <c r="B98" t="s">
        <v>42</v>
      </c>
      <c r="C98" t="s">
        <v>43</v>
      </c>
      <c r="D98" t="s">
        <v>9</v>
      </c>
      <c r="E98" s="1">
        <v>45586</v>
      </c>
      <c r="F98" t="s">
        <v>23</v>
      </c>
      <c r="G98">
        <v>8</v>
      </c>
      <c r="H98" s="2">
        <v>33589</v>
      </c>
      <c r="I98" s="2">
        <v>1403</v>
      </c>
      <c r="J98" s="2">
        <v>16836</v>
      </c>
    </row>
    <row r="99" spans="1:10">
      <c r="A99">
        <v>5098</v>
      </c>
      <c r="B99" t="s">
        <v>40</v>
      </c>
      <c r="C99" t="s">
        <v>41</v>
      </c>
      <c r="D99" t="s">
        <v>9</v>
      </c>
      <c r="E99" s="1">
        <v>45589</v>
      </c>
      <c r="F99" t="s">
        <v>29</v>
      </c>
      <c r="G99">
        <v>8</v>
      </c>
      <c r="H99" s="2">
        <v>34533</v>
      </c>
      <c r="I99" s="2">
        <v>1375</v>
      </c>
      <c r="J99" s="2">
        <v>16500</v>
      </c>
    </row>
    <row r="100" spans="1:10">
      <c r="A100">
        <v>5099</v>
      </c>
      <c r="B100" t="s">
        <v>26</v>
      </c>
      <c r="C100" t="s">
        <v>41</v>
      </c>
      <c r="D100" t="s">
        <v>10</v>
      </c>
      <c r="E100" s="1">
        <v>45592</v>
      </c>
      <c r="F100" t="s">
        <v>29</v>
      </c>
      <c r="G100">
        <v>57</v>
      </c>
      <c r="H100" s="2">
        <v>203529</v>
      </c>
      <c r="I100" s="2">
        <v>8732</v>
      </c>
      <c r="J100" s="2">
        <v>104784</v>
      </c>
    </row>
    <row r="101" spans="1:10">
      <c r="A101">
        <v>5100</v>
      </c>
      <c r="B101" t="s">
        <v>33</v>
      </c>
      <c r="C101" t="s">
        <v>28</v>
      </c>
      <c r="D101" t="s">
        <v>9</v>
      </c>
      <c r="E101" s="1">
        <v>45595</v>
      </c>
      <c r="F101" t="s">
        <v>29</v>
      </c>
      <c r="G101">
        <v>7</v>
      </c>
      <c r="H101" s="2">
        <v>28648</v>
      </c>
      <c r="I101" s="2">
        <v>1177</v>
      </c>
      <c r="J101" s="2">
        <v>14124</v>
      </c>
    </row>
    <row r="102" spans="1:10">
      <c r="A102">
        <v>5101</v>
      </c>
      <c r="B102" t="s">
        <v>26</v>
      </c>
      <c r="C102" t="s">
        <v>31</v>
      </c>
      <c r="D102" t="s">
        <v>10</v>
      </c>
      <c r="E102" s="1">
        <v>45598</v>
      </c>
      <c r="F102" t="s">
        <v>29</v>
      </c>
      <c r="G102">
        <v>70</v>
      </c>
      <c r="H102" s="2">
        <v>251128</v>
      </c>
      <c r="I102" s="2">
        <v>10782</v>
      </c>
      <c r="J102" s="2">
        <v>129384</v>
      </c>
    </row>
    <row r="103" spans="1:10">
      <c r="A103">
        <v>5102</v>
      </c>
      <c r="B103" t="s">
        <v>27</v>
      </c>
      <c r="C103" t="s">
        <v>41</v>
      </c>
      <c r="D103" t="s">
        <v>9</v>
      </c>
      <c r="E103" s="1">
        <v>45601</v>
      </c>
      <c r="F103" t="s">
        <v>23</v>
      </c>
      <c r="G103">
        <v>7</v>
      </c>
      <c r="H103" s="2">
        <v>29383</v>
      </c>
      <c r="I103" s="2">
        <v>1208</v>
      </c>
      <c r="J103" s="2">
        <v>14496</v>
      </c>
    </row>
    <row r="104" spans="1:10">
      <c r="A104">
        <v>5103</v>
      </c>
      <c r="B104" t="s">
        <v>35</v>
      </c>
      <c r="C104" t="s">
        <v>47</v>
      </c>
      <c r="D104" t="s">
        <v>9</v>
      </c>
      <c r="E104" s="1">
        <v>45604</v>
      </c>
      <c r="F104" t="s">
        <v>29</v>
      </c>
      <c r="G104">
        <v>14</v>
      </c>
      <c r="H104" s="2">
        <v>59575</v>
      </c>
      <c r="I104" s="2">
        <v>2404</v>
      </c>
      <c r="J104" s="2">
        <v>28848</v>
      </c>
    </row>
    <row r="105" spans="1:10">
      <c r="A105">
        <v>5104</v>
      </c>
      <c r="B105" t="s">
        <v>49</v>
      </c>
      <c r="C105" t="s">
        <v>25</v>
      </c>
      <c r="D105" t="s">
        <v>7</v>
      </c>
      <c r="E105" s="1">
        <v>45607</v>
      </c>
      <c r="F105" t="s">
        <v>29</v>
      </c>
      <c r="G105">
        <v>30</v>
      </c>
      <c r="H105" s="2">
        <v>115591</v>
      </c>
      <c r="I105" s="2">
        <v>4831</v>
      </c>
      <c r="J105" s="2">
        <v>57972</v>
      </c>
    </row>
    <row r="106" spans="1:10">
      <c r="A106">
        <v>5105</v>
      </c>
      <c r="B106" t="s">
        <v>30</v>
      </c>
      <c r="C106" t="s">
        <v>25</v>
      </c>
      <c r="D106" t="s">
        <v>7</v>
      </c>
      <c r="E106" s="1">
        <v>45610</v>
      </c>
      <c r="F106" t="s">
        <v>23</v>
      </c>
      <c r="G106">
        <v>41</v>
      </c>
      <c r="H106" s="2">
        <v>153892</v>
      </c>
      <c r="I106" s="2">
        <v>6619</v>
      </c>
      <c r="J106" s="2">
        <v>79428</v>
      </c>
    </row>
    <row r="107" spans="1:10">
      <c r="A107">
        <v>5106</v>
      </c>
      <c r="B107" t="s">
        <v>52</v>
      </c>
      <c r="C107" t="s">
        <v>25</v>
      </c>
      <c r="D107" t="s">
        <v>7</v>
      </c>
      <c r="E107" s="1">
        <v>45614</v>
      </c>
      <c r="F107" t="s">
        <v>29</v>
      </c>
      <c r="G107">
        <v>32</v>
      </c>
      <c r="H107" s="2">
        <v>120203</v>
      </c>
      <c r="I107" s="2">
        <v>5189</v>
      </c>
      <c r="J107" s="2">
        <v>62268</v>
      </c>
    </row>
    <row r="108" spans="1:10">
      <c r="A108">
        <v>5107</v>
      </c>
      <c r="B108" t="s">
        <v>44</v>
      </c>
      <c r="C108" t="s">
        <v>25</v>
      </c>
      <c r="D108" t="s">
        <v>7</v>
      </c>
      <c r="E108" s="1">
        <v>45617</v>
      </c>
      <c r="F108" t="s">
        <v>29</v>
      </c>
      <c r="G108">
        <v>26</v>
      </c>
      <c r="H108" s="2">
        <v>99193</v>
      </c>
      <c r="I108" s="2">
        <v>4105</v>
      </c>
      <c r="J108" s="2">
        <v>49260</v>
      </c>
    </row>
    <row r="109" spans="1:10">
      <c r="A109">
        <v>5108</v>
      </c>
      <c r="B109" t="s">
        <v>27</v>
      </c>
      <c r="C109" t="s">
        <v>22</v>
      </c>
      <c r="D109" t="s">
        <v>9</v>
      </c>
      <c r="E109" s="1">
        <v>45620</v>
      </c>
      <c r="F109" t="s">
        <v>23</v>
      </c>
      <c r="G109">
        <v>13</v>
      </c>
      <c r="H109" s="2">
        <v>53848</v>
      </c>
      <c r="I109" s="2">
        <v>2206</v>
      </c>
      <c r="J109" s="2">
        <v>26472</v>
      </c>
    </row>
    <row r="110" spans="1:10">
      <c r="A110">
        <v>5109</v>
      </c>
      <c r="B110" t="s">
        <v>50</v>
      </c>
      <c r="C110" t="s">
        <v>28</v>
      </c>
      <c r="D110" t="s">
        <v>7</v>
      </c>
      <c r="E110" s="1">
        <v>45623</v>
      </c>
      <c r="F110" t="s">
        <v>23</v>
      </c>
      <c r="G110">
        <v>40</v>
      </c>
      <c r="H110" s="2">
        <v>152851</v>
      </c>
      <c r="I110" s="2">
        <v>6300</v>
      </c>
      <c r="J110" s="2">
        <v>75600</v>
      </c>
    </row>
    <row r="111" spans="1:10">
      <c r="A111">
        <v>5110</v>
      </c>
      <c r="B111" t="s">
        <v>42</v>
      </c>
      <c r="C111" t="s">
        <v>25</v>
      </c>
      <c r="D111" t="s">
        <v>9</v>
      </c>
      <c r="E111" s="1">
        <v>45626</v>
      </c>
      <c r="F111" t="s">
        <v>23</v>
      </c>
      <c r="G111">
        <v>13</v>
      </c>
      <c r="H111" s="2">
        <v>53627</v>
      </c>
      <c r="I111" s="2">
        <v>2246</v>
      </c>
      <c r="J111" s="2">
        <v>26952</v>
      </c>
    </row>
    <row r="112" spans="1:10">
      <c r="A112">
        <v>5111</v>
      </c>
      <c r="B112" t="s">
        <v>35</v>
      </c>
      <c r="C112" t="s">
        <v>39</v>
      </c>
      <c r="D112" t="s">
        <v>9</v>
      </c>
      <c r="E112" s="1">
        <v>45629</v>
      </c>
      <c r="F112" t="s">
        <v>29</v>
      </c>
      <c r="G112">
        <v>11</v>
      </c>
      <c r="H112" s="2">
        <v>46082</v>
      </c>
      <c r="I112" s="2">
        <v>1826</v>
      </c>
      <c r="J112" s="2">
        <v>21912</v>
      </c>
    </row>
    <row r="113" spans="1:10">
      <c r="A113">
        <v>5112</v>
      </c>
      <c r="B113" t="s">
        <v>56</v>
      </c>
      <c r="C113" t="s">
        <v>28</v>
      </c>
      <c r="D113" t="s">
        <v>8</v>
      </c>
      <c r="E113" s="1">
        <v>45632</v>
      </c>
      <c r="F113" t="s">
        <v>23</v>
      </c>
      <c r="G113">
        <v>97</v>
      </c>
      <c r="H113" s="2">
        <v>332473</v>
      </c>
      <c r="I113" s="2">
        <v>14264</v>
      </c>
      <c r="J113" s="2">
        <v>171168</v>
      </c>
    </row>
    <row r="114" spans="1:10">
      <c r="A114">
        <v>5113</v>
      </c>
      <c r="B114" t="s">
        <v>27</v>
      </c>
      <c r="C114" t="s">
        <v>25</v>
      </c>
      <c r="D114" t="s">
        <v>9</v>
      </c>
      <c r="E114" s="1">
        <v>45635</v>
      </c>
      <c r="F114" t="s">
        <v>29</v>
      </c>
      <c r="G114">
        <v>4</v>
      </c>
      <c r="H114" s="2">
        <v>17054</v>
      </c>
      <c r="I114" s="2">
        <v>715</v>
      </c>
      <c r="J114" s="2">
        <v>8580</v>
      </c>
    </row>
    <row r="115" spans="1:10">
      <c r="A115">
        <v>5114</v>
      </c>
      <c r="B115" t="s">
        <v>24</v>
      </c>
      <c r="C115" t="s">
        <v>22</v>
      </c>
      <c r="D115" t="s">
        <v>7</v>
      </c>
      <c r="E115" s="1">
        <v>45638</v>
      </c>
      <c r="F115" t="s">
        <v>23</v>
      </c>
      <c r="G115">
        <v>39</v>
      </c>
      <c r="H115" s="2">
        <v>147803</v>
      </c>
      <c r="I115" s="2">
        <v>6277</v>
      </c>
      <c r="J115" s="2">
        <v>75324</v>
      </c>
    </row>
    <row r="116" spans="1:10">
      <c r="A116">
        <v>5115</v>
      </c>
      <c r="B116" t="s">
        <v>42</v>
      </c>
      <c r="C116" t="s">
        <v>41</v>
      </c>
      <c r="D116" t="s">
        <v>9</v>
      </c>
      <c r="E116" s="1">
        <v>45641</v>
      </c>
      <c r="F116" t="s">
        <v>29</v>
      </c>
      <c r="G116">
        <v>5</v>
      </c>
      <c r="H116" s="2">
        <v>20622</v>
      </c>
      <c r="I116" s="2">
        <v>807</v>
      </c>
      <c r="J116" s="2">
        <v>9684</v>
      </c>
    </row>
    <row r="117" spans="1:10">
      <c r="A117">
        <v>5116</v>
      </c>
      <c r="B117" t="s">
        <v>40</v>
      </c>
      <c r="C117" t="s">
        <v>39</v>
      </c>
      <c r="D117" t="s">
        <v>9</v>
      </c>
      <c r="E117" s="1">
        <v>45644</v>
      </c>
      <c r="F117" t="s">
        <v>29</v>
      </c>
      <c r="G117">
        <v>9</v>
      </c>
      <c r="H117" s="2">
        <v>37491</v>
      </c>
      <c r="I117" s="2">
        <v>1505</v>
      </c>
      <c r="J117" s="2">
        <v>18060</v>
      </c>
    </row>
    <row r="118" spans="1:10">
      <c r="A118">
        <v>5117</v>
      </c>
      <c r="B118" t="s">
        <v>49</v>
      </c>
      <c r="C118" t="s">
        <v>28</v>
      </c>
      <c r="D118" t="s">
        <v>7</v>
      </c>
      <c r="E118" s="1">
        <v>45647</v>
      </c>
      <c r="F118" t="s">
        <v>29</v>
      </c>
      <c r="G118">
        <v>51</v>
      </c>
      <c r="H118" s="2">
        <v>195248</v>
      </c>
      <c r="I118" s="2">
        <v>8092</v>
      </c>
      <c r="J118" s="2">
        <v>97104</v>
      </c>
    </row>
    <row r="119" spans="1:10">
      <c r="A119">
        <v>5118</v>
      </c>
      <c r="B119" t="s">
        <v>24</v>
      </c>
      <c r="C119" t="s">
        <v>25</v>
      </c>
      <c r="D119" t="s">
        <v>7</v>
      </c>
      <c r="E119" s="1">
        <v>45650</v>
      </c>
      <c r="F119" t="s">
        <v>29</v>
      </c>
      <c r="G119">
        <v>44</v>
      </c>
      <c r="H119" s="2">
        <v>168090</v>
      </c>
      <c r="I119" s="2">
        <v>7129</v>
      </c>
      <c r="J119" s="2">
        <v>85548</v>
      </c>
    </row>
    <row r="120" spans="1:10">
      <c r="A120">
        <v>5119</v>
      </c>
      <c r="B120" t="s">
        <v>46</v>
      </c>
      <c r="C120" t="s">
        <v>22</v>
      </c>
      <c r="D120" t="s">
        <v>7</v>
      </c>
      <c r="E120" s="1">
        <v>45653</v>
      </c>
      <c r="F120" t="s">
        <v>23</v>
      </c>
      <c r="G120">
        <v>17</v>
      </c>
      <c r="H120" s="2">
        <v>62842</v>
      </c>
      <c r="I120" s="2">
        <v>2650</v>
      </c>
      <c r="J120" s="2">
        <v>31800</v>
      </c>
    </row>
    <row r="121" spans="1:10">
      <c r="A121">
        <v>5120</v>
      </c>
      <c r="B121" t="s">
        <v>26</v>
      </c>
      <c r="C121" t="s">
        <v>31</v>
      </c>
      <c r="D121" t="s">
        <v>10</v>
      </c>
      <c r="E121" s="1">
        <v>45657</v>
      </c>
      <c r="F121" t="s">
        <v>29</v>
      </c>
      <c r="G121">
        <v>94</v>
      </c>
      <c r="H121" s="2">
        <v>335403</v>
      </c>
      <c r="I121" s="2">
        <v>14704</v>
      </c>
      <c r="J121" s="2">
        <v>176448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26E1-3144-409D-9CD0-F3183973BF28}">
  <dimension ref="A1:N14"/>
  <sheetViews>
    <sheetView workbookViewId="0">
      <selection activeCell="B12" sqref="B12"/>
    </sheetView>
  </sheetViews>
  <sheetFormatPr defaultRowHeight="15"/>
  <cols>
    <col min="1" max="1" width="11" bestFit="1" customWidth="1"/>
    <col min="2" max="2" width="28.140625" bestFit="1" customWidth="1"/>
    <col min="3" max="3" width="14.28515625" customWidth="1"/>
    <col min="4" max="4" width="2.42578125" customWidth="1"/>
    <col min="5" max="5" width="17.140625" bestFit="1" customWidth="1"/>
    <col min="6" max="6" width="28.140625" bestFit="1" customWidth="1"/>
    <col min="8" max="8" width="3.140625" customWidth="1"/>
    <col min="9" max="9" width="19.28515625" bestFit="1" customWidth="1"/>
    <col min="10" max="10" width="28.140625" bestFit="1" customWidth="1"/>
    <col min="11" max="11" width="2.85546875" customWidth="1"/>
    <col min="12" max="12" width="2.5703125" customWidth="1"/>
    <col min="13" max="13" width="19.28515625" bestFit="1" customWidth="1"/>
    <col min="14" max="14" width="28.140625" bestFit="1" customWidth="1"/>
  </cols>
  <sheetData>
    <row r="1" spans="1:14">
      <c r="A1" s="7" t="s">
        <v>57</v>
      </c>
      <c r="B1" s="7"/>
      <c r="C1" s="7"/>
      <c r="E1" s="8" t="s">
        <v>58</v>
      </c>
      <c r="F1" s="8"/>
      <c r="G1" s="8"/>
      <c r="I1" s="7" t="s">
        <v>59</v>
      </c>
      <c r="J1" s="7"/>
      <c r="M1" s="7" t="s">
        <v>60</v>
      </c>
      <c r="N1" s="7"/>
    </row>
    <row r="3" spans="1:14">
      <c r="A3" s="4" t="s">
        <v>14</v>
      </c>
      <c r="B3" t="s">
        <v>6</v>
      </c>
      <c r="E3" s="4" t="s">
        <v>16</v>
      </c>
      <c r="F3" t="s">
        <v>6</v>
      </c>
      <c r="I3" s="4" t="s">
        <v>5</v>
      </c>
      <c r="J3" t="s">
        <v>6</v>
      </c>
      <c r="M3" s="4" t="s">
        <v>5</v>
      </c>
      <c r="N3" t="s">
        <v>6</v>
      </c>
    </row>
    <row r="4" spans="1:14">
      <c r="A4" t="s">
        <v>43</v>
      </c>
      <c r="B4" s="2">
        <v>750708</v>
      </c>
      <c r="E4" t="s">
        <v>23</v>
      </c>
      <c r="F4" s="2">
        <v>4321116</v>
      </c>
      <c r="I4" t="s">
        <v>7</v>
      </c>
      <c r="J4" s="2">
        <v>3792024</v>
      </c>
      <c r="M4" t="s">
        <v>7</v>
      </c>
      <c r="N4" s="2">
        <v>3792024</v>
      </c>
    </row>
    <row r="5" spans="1:14">
      <c r="A5" t="s">
        <v>41</v>
      </c>
      <c r="B5" s="2">
        <v>463476</v>
      </c>
      <c r="C5" s="2"/>
      <c r="E5" t="s">
        <v>29</v>
      </c>
      <c r="F5" s="2">
        <v>6046356</v>
      </c>
      <c r="I5" t="s">
        <v>8</v>
      </c>
      <c r="J5" s="2">
        <v>4051896</v>
      </c>
      <c r="M5" t="s">
        <v>8</v>
      </c>
      <c r="N5" s="2">
        <v>4051896</v>
      </c>
    </row>
    <row r="6" spans="1:14">
      <c r="A6" t="s">
        <v>34</v>
      </c>
      <c r="B6" s="2">
        <v>432084</v>
      </c>
      <c r="C6" s="2"/>
      <c r="E6" t="s">
        <v>11</v>
      </c>
      <c r="F6" s="2">
        <v>10367472</v>
      </c>
      <c r="I6" t="s">
        <v>9</v>
      </c>
      <c r="J6" s="2">
        <v>849408</v>
      </c>
      <c r="M6" t="s">
        <v>9</v>
      </c>
      <c r="N6" s="2">
        <v>849408</v>
      </c>
    </row>
    <row r="7" spans="1:14">
      <c r="A7" t="s">
        <v>22</v>
      </c>
      <c r="B7" s="2">
        <v>1432500</v>
      </c>
      <c r="C7" s="2"/>
      <c r="I7" t="s">
        <v>10</v>
      </c>
      <c r="J7" s="2">
        <v>1674144</v>
      </c>
      <c r="M7" t="s">
        <v>10</v>
      </c>
      <c r="N7" s="2">
        <v>1674144</v>
      </c>
    </row>
    <row r="8" spans="1:14">
      <c r="A8" t="s">
        <v>38</v>
      </c>
      <c r="B8" s="2">
        <v>120012</v>
      </c>
      <c r="C8" s="2"/>
      <c r="I8" t="s">
        <v>11</v>
      </c>
      <c r="J8" s="2">
        <v>10367472</v>
      </c>
      <c r="M8" t="s">
        <v>11</v>
      </c>
      <c r="N8" s="2">
        <v>10367472</v>
      </c>
    </row>
    <row r="9" spans="1:14">
      <c r="A9" t="s">
        <v>28</v>
      </c>
      <c r="B9" s="2">
        <v>684036</v>
      </c>
    </row>
    <row r="10" spans="1:14">
      <c r="A10" t="s">
        <v>31</v>
      </c>
      <c r="B10" s="2">
        <v>1856580</v>
      </c>
    </row>
    <row r="11" spans="1:14">
      <c r="A11" t="s">
        <v>39</v>
      </c>
      <c r="B11" s="2">
        <v>1367628</v>
      </c>
    </row>
    <row r="12" spans="1:14">
      <c r="A12" t="s">
        <v>47</v>
      </c>
      <c r="B12" s="2">
        <v>1692348</v>
      </c>
    </row>
    <row r="13" spans="1:14">
      <c r="A13" t="s">
        <v>25</v>
      </c>
      <c r="B13" s="2">
        <v>1568100</v>
      </c>
    </row>
    <row r="14" spans="1:14">
      <c r="A14" t="s">
        <v>11</v>
      </c>
      <c r="B14" s="2">
        <v>10367472</v>
      </c>
    </row>
  </sheetData>
  <mergeCells count="4">
    <mergeCell ref="M1:N1"/>
    <mergeCell ref="A1:C1"/>
    <mergeCell ref="E1:G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2026-10-17T20:53:11Z</dcterms:created>
  <dcterms:modified xsi:type="dcterms:W3CDTF">2026-10-17T22:33:36Z</dcterms:modified>
  <cp:category/>
  <cp:contentStatus/>
</cp:coreProperties>
</file>